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05CEACF7-08EB-4380-ACA1-F98E6425E41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ORECAST" sheetId="5" r:id="rId1"/>
    <sheet name="PLANNING 2026" sheetId="3" r:id="rId2"/>
    <sheet name="ROOM RENTAL PROYECTADO" sheetId="4" r:id="rId3"/>
    <sheet name="% de Ocupación x Salón Anual" sheetId="6" r:id="rId4"/>
  </sheets>
  <definedNames>
    <definedName name="_xlnm._FilterDatabase" localSheetId="0" hidden="1">FORECAST!$A$3:$H$296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" i="3" l="1"/>
  <c r="I35" i="3" a="1"/>
  <c r="I35" i="3" s="1"/>
  <c r="AL132" i="3"/>
  <c r="AL49" i="3"/>
  <c r="C148" i="3" a="1"/>
  <c r="C148" i="3" s="1"/>
  <c r="D148" i="3" a="1"/>
  <c r="D148" i="3" s="1"/>
  <c r="E148" i="3" a="1"/>
  <c r="E148" i="3" s="1"/>
  <c r="F148" i="3" a="1"/>
  <c r="F148" i="3" s="1"/>
  <c r="G148" i="3" a="1"/>
  <c r="G148" i="3" s="1"/>
  <c r="H148" i="3" a="1"/>
  <c r="H148" i="3" s="1"/>
  <c r="I148" i="3" a="1"/>
  <c r="I148" i="3" s="1"/>
  <c r="J148" i="3" a="1"/>
  <c r="J148" i="3" s="1"/>
  <c r="K148" i="3" a="1"/>
  <c r="K148" i="3" s="1"/>
  <c r="L148" i="3" a="1"/>
  <c r="L148" i="3" s="1"/>
  <c r="M148" i="3" a="1"/>
  <c r="M148" i="3" s="1"/>
  <c r="N148" i="3" a="1"/>
  <c r="N148" i="3" s="1"/>
  <c r="O148" i="3" a="1"/>
  <c r="O148" i="3" s="1"/>
  <c r="P148" i="3" a="1"/>
  <c r="P148" i="3" s="1"/>
  <c r="Q148" i="3" a="1"/>
  <c r="Q148" i="3" s="1"/>
  <c r="R148" i="3" a="1"/>
  <c r="R148" i="3" s="1"/>
  <c r="S148" i="3" a="1"/>
  <c r="S148" i="3" s="1"/>
  <c r="T148" i="3" a="1"/>
  <c r="T148" i="3" s="1"/>
  <c r="U148" i="3" a="1"/>
  <c r="U148" i="3" s="1"/>
  <c r="V148" i="3" a="1"/>
  <c r="V148" i="3" s="1"/>
  <c r="W148" i="3" a="1"/>
  <c r="W148" i="3" s="1"/>
  <c r="X148" i="3" a="1"/>
  <c r="X148" i="3" s="1"/>
  <c r="Y148" i="3" a="1"/>
  <c r="Y148" i="3" s="1"/>
  <c r="Z148" i="3" a="1"/>
  <c r="Z148" i="3" s="1"/>
  <c r="AA148" i="3" a="1"/>
  <c r="AA148" i="3" s="1"/>
  <c r="AB148" i="3" a="1"/>
  <c r="AB148" i="3" s="1"/>
  <c r="AC148" i="3" a="1"/>
  <c r="AC148" i="3" s="1"/>
  <c r="AD148" i="3" a="1"/>
  <c r="AD148" i="3" s="1"/>
  <c r="AE148" i="3" a="1"/>
  <c r="AE148" i="3" s="1"/>
  <c r="AF148" i="3" a="1"/>
  <c r="AF148" i="3" s="1"/>
  <c r="AG148" i="3" a="1"/>
  <c r="AG148" i="3" s="1"/>
  <c r="C136" i="3" a="1"/>
  <c r="C136" i="3" s="1"/>
  <c r="D136" i="3" a="1"/>
  <c r="D136" i="3" s="1"/>
  <c r="E136" i="3" a="1"/>
  <c r="E136" i="3" s="1"/>
  <c r="F136" i="3" a="1"/>
  <c r="F136" i="3" s="1"/>
  <c r="G136" i="3" a="1"/>
  <c r="G136" i="3" s="1"/>
  <c r="H136" i="3" a="1"/>
  <c r="H136" i="3" s="1"/>
  <c r="I136" i="3" a="1"/>
  <c r="I136" i="3" s="1"/>
  <c r="J136" i="3" a="1"/>
  <c r="J136" i="3" s="1"/>
  <c r="K136" i="3" a="1"/>
  <c r="K136" i="3" s="1"/>
  <c r="L136" i="3" a="1"/>
  <c r="L136" i="3" s="1"/>
  <c r="M136" i="3" a="1"/>
  <c r="M136" i="3" s="1"/>
  <c r="N136" i="3" a="1"/>
  <c r="N136" i="3" s="1"/>
  <c r="O136" i="3" a="1"/>
  <c r="O136" i="3" s="1"/>
  <c r="P136" i="3" a="1"/>
  <c r="P136" i="3" s="1"/>
  <c r="Q136" i="3" a="1"/>
  <c r="Q136" i="3" s="1"/>
  <c r="R136" i="3" a="1"/>
  <c r="R136" i="3" s="1"/>
  <c r="S136" i="3" a="1"/>
  <c r="S136" i="3" s="1"/>
  <c r="T136" i="3" a="1"/>
  <c r="T136" i="3" s="1"/>
  <c r="U136" i="3" a="1"/>
  <c r="U136" i="3" s="1"/>
  <c r="V136" i="3" a="1"/>
  <c r="V136" i="3" s="1"/>
  <c r="W136" i="3" a="1"/>
  <c r="W136" i="3" s="1"/>
  <c r="X136" i="3" a="1"/>
  <c r="X136" i="3" s="1"/>
  <c r="Y136" i="3" a="1"/>
  <c r="Y136" i="3" s="1"/>
  <c r="Z136" i="3" a="1"/>
  <c r="Z136" i="3" s="1"/>
  <c r="AA136" i="3" a="1"/>
  <c r="AA136" i="3" s="1"/>
  <c r="AB136" i="3" a="1"/>
  <c r="AB136" i="3" s="1"/>
  <c r="AC136" i="3" a="1"/>
  <c r="AC136" i="3" s="1"/>
  <c r="AD136" i="3" a="1"/>
  <c r="AD136" i="3" s="1"/>
  <c r="AE136" i="3" a="1"/>
  <c r="AE136" i="3" s="1"/>
  <c r="AF136" i="3" a="1"/>
  <c r="AF136" i="3" s="1"/>
  <c r="C124" i="3" a="1"/>
  <c r="C124" i="3" s="1"/>
  <c r="D124" i="3" a="1"/>
  <c r="D124" i="3" s="1"/>
  <c r="E124" i="3" a="1"/>
  <c r="E124" i="3" s="1"/>
  <c r="F124" i="3" a="1"/>
  <c r="F124" i="3" s="1"/>
  <c r="G124" i="3" a="1"/>
  <c r="G124" i="3" s="1"/>
  <c r="H124" i="3" a="1"/>
  <c r="H124" i="3" s="1"/>
  <c r="I124" i="3" a="1"/>
  <c r="I124" i="3" s="1"/>
  <c r="J124" i="3" a="1"/>
  <c r="J124" i="3" s="1"/>
  <c r="K124" i="3" a="1"/>
  <c r="K124" i="3" s="1"/>
  <c r="L124" i="3" a="1"/>
  <c r="L124" i="3" s="1"/>
  <c r="M124" i="3" a="1"/>
  <c r="M124" i="3" s="1"/>
  <c r="N124" i="3" a="1"/>
  <c r="N124" i="3" s="1"/>
  <c r="O124" i="3" a="1"/>
  <c r="O124" i="3" s="1"/>
  <c r="P124" i="3" a="1"/>
  <c r="P124" i="3" s="1"/>
  <c r="Q124" i="3" a="1"/>
  <c r="Q124" i="3" s="1"/>
  <c r="R124" i="3" a="1"/>
  <c r="R124" i="3" s="1"/>
  <c r="S124" i="3" a="1"/>
  <c r="S124" i="3" s="1"/>
  <c r="T124" i="3" a="1"/>
  <c r="T124" i="3" s="1"/>
  <c r="U124" i="3" a="1"/>
  <c r="U124" i="3" s="1"/>
  <c r="V124" i="3" a="1"/>
  <c r="V124" i="3" s="1"/>
  <c r="W124" i="3" a="1"/>
  <c r="W124" i="3" s="1"/>
  <c r="X124" i="3" a="1"/>
  <c r="X124" i="3" s="1"/>
  <c r="Y124" i="3" a="1"/>
  <c r="Y124" i="3" s="1"/>
  <c r="Z124" i="3" a="1"/>
  <c r="Z124" i="3" s="1"/>
  <c r="AA124" i="3" a="1"/>
  <c r="AA124" i="3" s="1"/>
  <c r="AB124" i="3" a="1"/>
  <c r="AB124" i="3" s="1"/>
  <c r="AC124" i="3" a="1"/>
  <c r="AC124" i="3" s="1"/>
  <c r="AD124" i="3" a="1"/>
  <c r="AD124" i="3" s="1"/>
  <c r="AE124" i="3" a="1"/>
  <c r="AE124" i="3" s="1"/>
  <c r="AF124" i="3" a="1"/>
  <c r="AF124" i="3" s="1"/>
  <c r="AG124" i="3" a="1"/>
  <c r="AG124" i="3" s="1"/>
  <c r="C112" i="3" a="1"/>
  <c r="C112" i="3" s="1"/>
  <c r="D112" i="3" a="1"/>
  <c r="D112" i="3" s="1"/>
  <c r="E112" i="3" a="1"/>
  <c r="E112" i="3" s="1"/>
  <c r="F112" i="3" a="1"/>
  <c r="F112" i="3" s="1"/>
  <c r="G112" i="3" a="1"/>
  <c r="G112" i="3" s="1"/>
  <c r="H112" i="3" a="1"/>
  <c r="H112" i="3" s="1"/>
  <c r="I112" i="3" a="1"/>
  <c r="I112" i="3" s="1"/>
  <c r="J112" i="3" a="1"/>
  <c r="J112" i="3" s="1"/>
  <c r="K112" i="3" a="1"/>
  <c r="K112" i="3" s="1"/>
  <c r="L112" i="3" a="1"/>
  <c r="L112" i="3" s="1"/>
  <c r="M112" i="3" a="1"/>
  <c r="M112" i="3" s="1"/>
  <c r="N112" i="3" a="1"/>
  <c r="N112" i="3" s="1"/>
  <c r="O112" i="3" a="1"/>
  <c r="O112" i="3" s="1"/>
  <c r="P112" i="3" a="1"/>
  <c r="P112" i="3" s="1"/>
  <c r="Q112" i="3" a="1"/>
  <c r="Q112" i="3" s="1"/>
  <c r="R112" i="3" a="1"/>
  <c r="R112" i="3" s="1"/>
  <c r="S112" i="3" a="1"/>
  <c r="S112" i="3" s="1"/>
  <c r="T112" i="3" a="1"/>
  <c r="T112" i="3" s="1"/>
  <c r="U112" i="3" a="1"/>
  <c r="U112" i="3" s="1"/>
  <c r="V112" i="3" a="1"/>
  <c r="V112" i="3" s="1"/>
  <c r="W112" i="3" a="1"/>
  <c r="W112" i="3" s="1"/>
  <c r="X112" i="3" a="1"/>
  <c r="X112" i="3" s="1"/>
  <c r="Y112" i="3" a="1"/>
  <c r="Y112" i="3" s="1"/>
  <c r="Z112" i="3" a="1"/>
  <c r="Z112" i="3" s="1"/>
  <c r="AA112" i="3" a="1"/>
  <c r="AA112" i="3" s="1"/>
  <c r="AB112" i="3" a="1"/>
  <c r="AB112" i="3" s="1"/>
  <c r="AC112" i="3" a="1"/>
  <c r="AC112" i="3" s="1"/>
  <c r="AD112" i="3" a="1"/>
  <c r="AD112" i="3" s="1"/>
  <c r="AE112" i="3" a="1"/>
  <c r="AE112" i="3" s="1"/>
  <c r="AF112" i="3" a="1"/>
  <c r="AF112" i="3" s="1"/>
  <c r="C101" i="3" a="1"/>
  <c r="C101" i="3" s="1"/>
  <c r="D101" i="3" a="1"/>
  <c r="D101" i="3" s="1"/>
  <c r="E101" i="3" a="1"/>
  <c r="E101" i="3" s="1"/>
  <c r="F101" i="3" a="1"/>
  <c r="F101" i="3" s="1"/>
  <c r="G101" i="3" a="1"/>
  <c r="G101" i="3" s="1"/>
  <c r="H101" i="3" a="1"/>
  <c r="H101" i="3" s="1"/>
  <c r="I101" i="3" a="1"/>
  <c r="I101" i="3" s="1"/>
  <c r="J101" i="3" a="1"/>
  <c r="J101" i="3" s="1"/>
  <c r="K101" i="3" a="1"/>
  <c r="K101" i="3" s="1"/>
  <c r="L101" i="3" a="1"/>
  <c r="L101" i="3" s="1"/>
  <c r="M101" i="3" a="1"/>
  <c r="M101" i="3" s="1"/>
  <c r="N101" i="3" a="1"/>
  <c r="N101" i="3" s="1"/>
  <c r="O101" i="3" a="1"/>
  <c r="O101" i="3" s="1"/>
  <c r="P101" i="3" a="1"/>
  <c r="P101" i="3" s="1"/>
  <c r="Q101" i="3" a="1"/>
  <c r="Q101" i="3" s="1"/>
  <c r="R101" i="3" a="1"/>
  <c r="R101" i="3" s="1"/>
  <c r="S101" i="3" a="1"/>
  <c r="S101" i="3" s="1"/>
  <c r="T101" i="3" a="1"/>
  <c r="T101" i="3" s="1"/>
  <c r="U101" i="3" a="1"/>
  <c r="U101" i="3" s="1"/>
  <c r="V101" i="3" a="1"/>
  <c r="V101" i="3" s="1"/>
  <c r="W101" i="3" a="1"/>
  <c r="W101" i="3" s="1"/>
  <c r="X101" i="3" a="1"/>
  <c r="X101" i="3" s="1"/>
  <c r="Y101" i="3" a="1"/>
  <c r="Y101" i="3" s="1"/>
  <c r="Z101" i="3" a="1"/>
  <c r="Z101" i="3" s="1"/>
  <c r="AA101" i="3" a="1"/>
  <c r="AA101" i="3" s="1"/>
  <c r="AB101" i="3" a="1"/>
  <c r="AB101" i="3" s="1"/>
  <c r="AC101" i="3" a="1"/>
  <c r="AC101" i="3" s="1"/>
  <c r="AD101" i="3" a="1"/>
  <c r="AD101" i="3" s="1"/>
  <c r="AE101" i="3" a="1"/>
  <c r="AE101" i="3" s="1"/>
  <c r="AF101" i="3" a="1"/>
  <c r="AF101" i="3" s="1"/>
  <c r="AG101" i="3" a="1"/>
  <c r="AG101" i="3" s="1"/>
  <c r="C89" i="3" a="1"/>
  <c r="C89" i="3" s="1"/>
  <c r="D89" i="3" a="1"/>
  <c r="D89" i="3" s="1"/>
  <c r="E89" i="3" a="1"/>
  <c r="E89" i="3" s="1"/>
  <c r="F89" i="3" a="1"/>
  <c r="F89" i="3" s="1"/>
  <c r="G89" i="3" a="1"/>
  <c r="G89" i="3" s="1"/>
  <c r="H89" i="3" a="1"/>
  <c r="H89" i="3" s="1"/>
  <c r="I89" i="3" a="1"/>
  <c r="I89" i="3" s="1"/>
  <c r="J89" i="3" a="1"/>
  <c r="J89" i="3" s="1"/>
  <c r="K89" i="3" a="1"/>
  <c r="K89" i="3" s="1"/>
  <c r="L89" i="3" a="1"/>
  <c r="L89" i="3" s="1"/>
  <c r="M89" i="3" a="1"/>
  <c r="M89" i="3" s="1"/>
  <c r="N89" i="3" a="1"/>
  <c r="N89" i="3" s="1"/>
  <c r="O89" i="3" a="1"/>
  <c r="O89" i="3" s="1"/>
  <c r="P89" i="3" a="1"/>
  <c r="P89" i="3" s="1"/>
  <c r="Q89" i="3" a="1"/>
  <c r="Q89" i="3" s="1"/>
  <c r="R89" i="3" a="1"/>
  <c r="R89" i="3" s="1"/>
  <c r="S89" i="3" a="1"/>
  <c r="S89" i="3" s="1"/>
  <c r="T89" i="3" a="1"/>
  <c r="T89" i="3" s="1"/>
  <c r="U89" i="3" a="1"/>
  <c r="U89" i="3" s="1"/>
  <c r="V89" i="3" a="1"/>
  <c r="V89" i="3" s="1"/>
  <c r="W89" i="3" a="1"/>
  <c r="W89" i="3" s="1"/>
  <c r="X89" i="3" a="1"/>
  <c r="X89" i="3" s="1"/>
  <c r="Y89" i="3" a="1"/>
  <c r="Y89" i="3" s="1"/>
  <c r="Z89" i="3" a="1"/>
  <c r="Z89" i="3" s="1"/>
  <c r="AA89" i="3" a="1"/>
  <c r="AA89" i="3" s="1"/>
  <c r="AB89" i="3" a="1"/>
  <c r="AB89" i="3" s="1"/>
  <c r="AC89" i="3" a="1"/>
  <c r="AC89" i="3" s="1"/>
  <c r="AD89" i="3" a="1"/>
  <c r="AD89" i="3" s="1"/>
  <c r="AE89" i="3" a="1"/>
  <c r="AE89" i="3" s="1"/>
  <c r="AF89" i="3" a="1"/>
  <c r="AF89" i="3" s="1"/>
  <c r="AG89" i="3" a="1"/>
  <c r="AG89" i="3" s="1"/>
  <c r="C77" i="3" a="1"/>
  <c r="C77" i="3" s="1"/>
  <c r="D77" i="3" a="1"/>
  <c r="D77" i="3" s="1"/>
  <c r="E77" i="3" a="1"/>
  <c r="E77" i="3" s="1"/>
  <c r="F77" i="3" a="1"/>
  <c r="F77" i="3" s="1"/>
  <c r="G77" i="3" a="1"/>
  <c r="G77" i="3" s="1"/>
  <c r="H77" i="3" a="1"/>
  <c r="H77" i="3" s="1"/>
  <c r="I77" i="3" a="1"/>
  <c r="I77" i="3" s="1"/>
  <c r="J77" i="3" a="1"/>
  <c r="J77" i="3" s="1"/>
  <c r="K77" i="3" a="1"/>
  <c r="K77" i="3" s="1"/>
  <c r="L77" i="3" a="1"/>
  <c r="L77" i="3" s="1"/>
  <c r="M77" i="3" a="1"/>
  <c r="M77" i="3" s="1"/>
  <c r="N77" i="3" a="1"/>
  <c r="N77" i="3" s="1"/>
  <c r="O77" i="3" a="1"/>
  <c r="O77" i="3" s="1"/>
  <c r="P77" i="3" a="1"/>
  <c r="P77" i="3" s="1"/>
  <c r="Q77" i="3" a="1"/>
  <c r="Q77" i="3" s="1"/>
  <c r="R77" i="3" a="1"/>
  <c r="R77" i="3" s="1"/>
  <c r="S77" i="3" a="1"/>
  <c r="S77" i="3" s="1"/>
  <c r="T77" i="3" a="1"/>
  <c r="T77" i="3" s="1"/>
  <c r="U77" i="3" a="1"/>
  <c r="U77" i="3" s="1"/>
  <c r="V77" i="3" a="1"/>
  <c r="V77" i="3" s="1"/>
  <c r="W77" i="3" a="1"/>
  <c r="W77" i="3" s="1"/>
  <c r="X77" i="3" a="1"/>
  <c r="X77" i="3" s="1"/>
  <c r="Y77" i="3" a="1"/>
  <c r="Y77" i="3" s="1"/>
  <c r="Z77" i="3" a="1"/>
  <c r="Z77" i="3" s="1"/>
  <c r="AA77" i="3" a="1"/>
  <c r="AA77" i="3" s="1"/>
  <c r="AB77" i="3" a="1"/>
  <c r="AB77" i="3" s="1"/>
  <c r="AC77" i="3" a="1"/>
  <c r="AC77" i="3" s="1"/>
  <c r="AD77" i="3" a="1"/>
  <c r="AD77" i="3" s="1"/>
  <c r="AE77" i="3" a="1"/>
  <c r="AE77" i="3" s="1"/>
  <c r="AF77" i="3" a="1"/>
  <c r="AF77" i="3" s="1"/>
  <c r="C65" i="3" a="1"/>
  <c r="C65" i="3" s="1"/>
  <c r="D65" i="3" a="1"/>
  <c r="D65" i="3" s="1"/>
  <c r="E65" i="3" a="1"/>
  <c r="E65" i="3" s="1"/>
  <c r="F65" i="3" a="1"/>
  <c r="F65" i="3" s="1"/>
  <c r="G65" i="3" a="1"/>
  <c r="G65" i="3" s="1"/>
  <c r="H65" i="3" a="1"/>
  <c r="H65" i="3" s="1"/>
  <c r="I65" i="3" a="1"/>
  <c r="I65" i="3" s="1"/>
  <c r="J65" i="3" a="1"/>
  <c r="J65" i="3" s="1"/>
  <c r="K65" i="3" a="1"/>
  <c r="K65" i="3" s="1"/>
  <c r="L65" i="3" a="1"/>
  <c r="L65" i="3" s="1"/>
  <c r="M65" i="3" a="1"/>
  <c r="M65" i="3" s="1"/>
  <c r="N65" i="3" a="1"/>
  <c r="N65" i="3" s="1"/>
  <c r="O65" i="3" a="1"/>
  <c r="O65" i="3" s="1"/>
  <c r="P65" i="3" a="1"/>
  <c r="P65" i="3" s="1"/>
  <c r="Q65" i="3" a="1"/>
  <c r="Q65" i="3" s="1"/>
  <c r="R65" i="3" a="1"/>
  <c r="R65" i="3" s="1"/>
  <c r="S65" i="3" a="1"/>
  <c r="S65" i="3" s="1"/>
  <c r="T65" i="3" a="1"/>
  <c r="T65" i="3" s="1"/>
  <c r="U65" i="3" a="1"/>
  <c r="U65" i="3" s="1"/>
  <c r="V65" i="3" a="1"/>
  <c r="V65" i="3" s="1"/>
  <c r="W65" i="3" a="1"/>
  <c r="W65" i="3" s="1"/>
  <c r="X65" i="3" a="1"/>
  <c r="X65" i="3" s="1"/>
  <c r="Y65" i="3" a="1"/>
  <c r="Y65" i="3" s="1"/>
  <c r="Z65" i="3" a="1"/>
  <c r="Z65" i="3" s="1"/>
  <c r="AA65" i="3" a="1"/>
  <c r="AA65" i="3" s="1"/>
  <c r="AB65" i="3" a="1"/>
  <c r="AB65" i="3" s="1"/>
  <c r="AC65" i="3" a="1"/>
  <c r="AC65" i="3" s="1"/>
  <c r="AD65" i="3" a="1"/>
  <c r="AD65" i="3" s="1"/>
  <c r="AE65" i="3" a="1"/>
  <c r="AE65" i="3" s="1"/>
  <c r="AF65" i="3" a="1"/>
  <c r="AF65" i="3" s="1"/>
  <c r="AG65" i="3" a="1"/>
  <c r="AG65" i="3" s="1"/>
  <c r="C54" i="3" a="1"/>
  <c r="C54" i="3" s="1"/>
  <c r="D54" i="3" a="1"/>
  <c r="D54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J54" i="3" a="1"/>
  <c r="J54" i="3" s="1"/>
  <c r="K54" i="3" a="1"/>
  <c r="K54" i="3" s="1"/>
  <c r="L54" i="3" a="1"/>
  <c r="L54" i="3" s="1"/>
  <c r="M54" i="3" a="1"/>
  <c r="M54" i="3" s="1"/>
  <c r="N54" i="3" a="1"/>
  <c r="N54" i="3" s="1"/>
  <c r="O54" i="3" a="1"/>
  <c r="O54" i="3" s="1"/>
  <c r="P54" i="3" a="1"/>
  <c r="P54" i="3" s="1"/>
  <c r="Q54" i="3" a="1"/>
  <c r="Q54" i="3" s="1"/>
  <c r="R54" i="3" a="1"/>
  <c r="R54" i="3" s="1"/>
  <c r="S54" i="3" a="1"/>
  <c r="S54" i="3" s="1"/>
  <c r="T54" i="3" a="1"/>
  <c r="T54" i="3" s="1"/>
  <c r="U54" i="3" a="1"/>
  <c r="U54" i="3" s="1"/>
  <c r="V54" i="3" a="1"/>
  <c r="V54" i="3" s="1"/>
  <c r="W54" i="3" a="1"/>
  <c r="W54" i="3" s="1"/>
  <c r="X54" i="3" a="1"/>
  <c r="X54" i="3" s="1"/>
  <c r="Y54" i="3" a="1"/>
  <c r="Y54" i="3" s="1"/>
  <c r="Z54" i="3" a="1"/>
  <c r="Z54" i="3" s="1"/>
  <c r="AA54" i="3" a="1"/>
  <c r="AA54" i="3" s="1"/>
  <c r="AB54" i="3" a="1"/>
  <c r="AB54" i="3" s="1"/>
  <c r="AC54" i="3" a="1"/>
  <c r="AC54" i="3" s="1"/>
  <c r="AD54" i="3" a="1"/>
  <c r="AD54" i="3" s="1"/>
  <c r="AE54" i="3" a="1"/>
  <c r="AE54" i="3" s="1"/>
  <c r="AF54" i="3" a="1"/>
  <c r="AF54" i="3" s="1"/>
  <c r="C42" i="3" a="1"/>
  <c r="C42" i="3" s="1"/>
  <c r="D42" i="3" a="1"/>
  <c r="D42" i="3" s="1"/>
  <c r="E42" i="3" a="1"/>
  <c r="E42" i="3" s="1"/>
  <c r="F42" i="3" a="1"/>
  <c r="F42" i="3" s="1"/>
  <c r="G42" i="3" a="1"/>
  <c r="G42" i="3" s="1"/>
  <c r="H42" i="3" a="1"/>
  <c r="H42" i="3" s="1"/>
  <c r="I42" i="3" a="1"/>
  <c r="I42" i="3" s="1"/>
  <c r="J42" i="3" a="1"/>
  <c r="J42" i="3" s="1"/>
  <c r="K42" i="3" a="1"/>
  <c r="K42" i="3" s="1"/>
  <c r="L42" i="3" a="1"/>
  <c r="L42" i="3" s="1"/>
  <c r="M42" i="3" a="1"/>
  <c r="M42" i="3" s="1"/>
  <c r="N42" i="3" a="1"/>
  <c r="N42" i="3" s="1"/>
  <c r="O42" i="3" a="1"/>
  <c r="O42" i="3" s="1"/>
  <c r="P42" i="3" a="1"/>
  <c r="P42" i="3" s="1"/>
  <c r="Q42" i="3" a="1"/>
  <c r="Q42" i="3" s="1"/>
  <c r="R42" i="3" a="1"/>
  <c r="R42" i="3" s="1"/>
  <c r="S42" i="3" a="1"/>
  <c r="S42" i="3" s="1"/>
  <c r="T42" i="3" a="1"/>
  <c r="T42" i="3" s="1"/>
  <c r="U42" i="3" a="1"/>
  <c r="U42" i="3" s="1"/>
  <c r="V42" i="3" a="1"/>
  <c r="V42" i="3" s="1"/>
  <c r="W42" i="3" a="1"/>
  <c r="W42" i="3" s="1"/>
  <c r="X42" i="3" a="1"/>
  <c r="X42" i="3" s="1"/>
  <c r="Y42" i="3" a="1"/>
  <c r="Y42" i="3" s="1"/>
  <c r="Z42" i="3" a="1"/>
  <c r="Z42" i="3" s="1"/>
  <c r="AA42" i="3" a="1"/>
  <c r="AA42" i="3" s="1"/>
  <c r="AB42" i="3" a="1"/>
  <c r="AB42" i="3" s="1"/>
  <c r="AC42" i="3" a="1"/>
  <c r="AC42" i="3" s="1"/>
  <c r="AD42" i="3" a="1"/>
  <c r="AD42" i="3" s="1"/>
  <c r="AE42" i="3" a="1"/>
  <c r="AE42" i="3" s="1"/>
  <c r="AF42" i="3" a="1"/>
  <c r="AF42" i="3" s="1"/>
  <c r="AG42" i="3" a="1"/>
  <c r="AG42" i="3" s="1"/>
  <c r="C31" i="3" a="1"/>
  <c r="C31" i="3" s="1"/>
  <c r="D31" i="3" a="1"/>
  <c r="D31" i="3" s="1"/>
  <c r="E31" i="3" a="1"/>
  <c r="E31" i="3" s="1"/>
  <c r="F31" i="3" a="1"/>
  <c r="F31" i="3" s="1"/>
  <c r="G31" i="3" a="1"/>
  <c r="G31" i="3" s="1"/>
  <c r="H31" i="3" a="1"/>
  <c r="H31" i="3" s="1"/>
  <c r="I31" i="3" a="1"/>
  <c r="I31" i="3" s="1"/>
  <c r="J31" i="3" a="1"/>
  <c r="J31" i="3" s="1"/>
  <c r="K31" i="3" a="1"/>
  <c r="K31" i="3" s="1"/>
  <c r="L31" i="3" a="1"/>
  <c r="L31" i="3" s="1"/>
  <c r="M31" i="3" a="1"/>
  <c r="M31" i="3" s="1"/>
  <c r="N31" i="3" a="1"/>
  <c r="N31" i="3" s="1"/>
  <c r="O31" i="3" a="1"/>
  <c r="O31" i="3" s="1"/>
  <c r="P31" i="3" a="1"/>
  <c r="P31" i="3" s="1"/>
  <c r="Q31" i="3" a="1"/>
  <c r="Q31" i="3" s="1"/>
  <c r="R31" i="3" a="1"/>
  <c r="R31" i="3" s="1"/>
  <c r="S31" i="3" a="1"/>
  <c r="S31" i="3" s="1"/>
  <c r="T31" i="3" a="1"/>
  <c r="T31" i="3" s="1"/>
  <c r="U31" i="3" a="1"/>
  <c r="U31" i="3" s="1"/>
  <c r="V31" i="3" a="1"/>
  <c r="V31" i="3" s="1"/>
  <c r="W31" i="3" a="1"/>
  <c r="W31" i="3" s="1"/>
  <c r="X31" i="3" a="1"/>
  <c r="X31" i="3" s="1"/>
  <c r="Y31" i="3" a="1"/>
  <c r="Y31" i="3" s="1"/>
  <c r="Z31" i="3" a="1"/>
  <c r="Z31" i="3" s="1"/>
  <c r="AA31" i="3" a="1"/>
  <c r="AA31" i="3" s="1"/>
  <c r="AB31" i="3" a="1"/>
  <c r="AB31" i="3" s="1"/>
  <c r="AC31" i="3" a="1"/>
  <c r="AC31" i="3" s="1"/>
  <c r="AD31" i="3" a="1"/>
  <c r="AD31" i="3" s="1"/>
  <c r="C20" i="3" a="1"/>
  <c r="C20" i="3" s="1"/>
  <c r="D20" i="3" a="1"/>
  <c r="D20" i="3" s="1"/>
  <c r="E20" i="3" a="1"/>
  <c r="E20" i="3" s="1"/>
  <c r="F20" i="3" a="1"/>
  <c r="F20" i="3" s="1"/>
  <c r="G20" i="3" a="1"/>
  <c r="G20" i="3" s="1"/>
  <c r="H20" i="3" a="1"/>
  <c r="H20" i="3" s="1"/>
  <c r="I20" i="3" a="1"/>
  <c r="I20" i="3" s="1"/>
  <c r="J20" i="3" a="1"/>
  <c r="J20" i="3" s="1"/>
  <c r="K20" i="3" a="1"/>
  <c r="K20" i="3" s="1"/>
  <c r="L20" i="3" a="1"/>
  <c r="L20" i="3" s="1"/>
  <c r="M20" i="3" a="1"/>
  <c r="M20" i="3" s="1"/>
  <c r="N20" i="3" a="1"/>
  <c r="N20" i="3" s="1"/>
  <c r="O20" i="3" a="1"/>
  <c r="O20" i="3" s="1"/>
  <c r="P20" i="3" a="1"/>
  <c r="P20" i="3" s="1"/>
  <c r="Q20" i="3" a="1"/>
  <c r="Q20" i="3" s="1"/>
  <c r="R20" i="3" a="1"/>
  <c r="R20" i="3" s="1"/>
  <c r="S20" i="3" a="1"/>
  <c r="S20" i="3" s="1"/>
  <c r="T20" i="3" a="1"/>
  <c r="T20" i="3" s="1"/>
  <c r="U20" i="3" a="1"/>
  <c r="U20" i="3" s="1"/>
  <c r="V20" i="3" a="1"/>
  <c r="V20" i="3" s="1"/>
  <c r="W20" i="3" a="1"/>
  <c r="W20" i="3" s="1"/>
  <c r="X20" i="3" a="1"/>
  <c r="X20" i="3" s="1"/>
  <c r="Y20" i="3" a="1"/>
  <c r="Y20" i="3" s="1"/>
  <c r="Z20" i="3" a="1"/>
  <c r="Z20" i="3" s="1"/>
  <c r="AA20" i="3" a="1"/>
  <c r="AA20" i="3" s="1"/>
  <c r="AB20" i="3" a="1"/>
  <c r="AB20" i="3" s="1"/>
  <c r="AC20" i="3" a="1"/>
  <c r="AC20" i="3" s="1"/>
  <c r="AD20" i="3" a="1"/>
  <c r="AD20" i="3" s="1"/>
  <c r="AE20" i="3" a="1"/>
  <c r="AE20" i="3" s="1"/>
  <c r="AF20" i="3" a="1"/>
  <c r="AF20" i="3" s="1"/>
  <c r="AG20" i="3" a="1"/>
  <c r="AG20" i="3" s="1"/>
  <c r="G129" i="3" a="1"/>
  <c r="G129" i="3" s="1"/>
  <c r="E134" i="3" a="1"/>
  <c r="E134" i="3" s="1"/>
  <c r="D11" i="4"/>
  <c r="D10" i="4"/>
  <c r="D9" i="4"/>
  <c r="D8" i="4"/>
  <c r="D7" i="4"/>
  <c r="D5" i="4"/>
  <c r="E5" i="4" s="1"/>
  <c r="D6" i="4"/>
  <c r="D12" i="4"/>
  <c r="AJ31" i="3" l="1"/>
  <c r="AJ20" i="3"/>
  <c r="AJ42" i="3"/>
  <c r="AJ54" i="3"/>
  <c r="AJ77" i="3"/>
  <c r="AJ89" i="3"/>
  <c r="AJ101" i="3"/>
  <c r="AJ112" i="3"/>
  <c r="AJ124" i="3"/>
  <c r="AJ136" i="3"/>
  <c r="AJ65" i="3"/>
  <c r="D13" i="4"/>
  <c r="G18" i="3" l="1" a="1"/>
  <c r="G18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I14" i="3" a="1"/>
  <c r="I14" i="3" s="1"/>
  <c r="J14" i="3" a="1"/>
  <c r="J14" i="3" s="1"/>
  <c r="K14" i="3" a="1"/>
  <c r="K14" i="3" s="1"/>
  <c r="L14" i="3" a="1"/>
  <c r="L14" i="3" s="1"/>
  <c r="M14" i="3" a="1"/>
  <c r="M14" i="3" s="1"/>
  <c r="N14" i="3" a="1"/>
  <c r="N14" i="3" s="1"/>
  <c r="O14" i="3" a="1"/>
  <c r="O14" i="3" s="1"/>
  <c r="P14" i="3" a="1"/>
  <c r="P14" i="3" s="1"/>
  <c r="Q14" i="3" a="1"/>
  <c r="Q14" i="3" s="1"/>
  <c r="R14" i="3" a="1"/>
  <c r="R14" i="3" s="1"/>
  <c r="S14" i="3" a="1"/>
  <c r="S14" i="3" s="1"/>
  <c r="T14" i="3" a="1"/>
  <c r="T14" i="3" s="1"/>
  <c r="U14" i="3" a="1"/>
  <c r="U14" i="3" s="1"/>
  <c r="V14" i="3" a="1"/>
  <c r="V14" i="3" s="1"/>
  <c r="W14" i="3" a="1"/>
  <c r="W14" i="3" s="1"/>
  <c r="X14" i="3" a="1"/>
  <c r="X14" i="3" s="1"/>
  <c r="Y14" i="3" a="1"/>
  <c r="Y14" i="3" s="1"/>
  <c r="Z14" i="3" a="1"/>
  <c r="Z14" i="3" s="1"/>
  <c r="AA14" i="3" a="1"/>
  <c r="AA14" i="3" s="1"/>
  <c r="AB14" i="3" a="1"/>
  <c r="AB14" i="3" s="1"/>
  <c r="AC14" i="3" a="1"/>
  <c r="AC14" i="3" s="1"/>
  <c r="AD14" i="3" a="1"/>
  <c r="AD14" i="3" s="1"/>
  <c r="AE14" i="3" a="1"/>
  <c r="AE14" i="3" s="1"/>
  <c r="AF14" i="3" a="1"/>
  <c r="AF14" i="3" s="1"/>
  <c r="AG14" i="3" a="1"/>
  <c r="AG14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K15" i="3" a="1"/>
  <c r="K15" i="3" s="1"/>
  <c r="L15" i="3" a="1"/>
  <c r="L15" i="3" s="1"/>
  <c r="M15" i="3" a="1"/>
  <c r="M15" i="3" s="1"/>
  <c r="N15" i="3" a="1"/>
  <c r="N15" i="3" s="1"/>
  <c r="O15" i="3" a="1"/>
  <c r="O15" i="3" s="1"/>
  <c r="P15" i="3" a="1"/>
  <c r="P15" i="3" s="1"/>
  <c r="Q15" i="3" a="1"/>
  <c r="Q15" i="3" s="1"/>
  <c r="R15" i="3" a="1"/>
  <c r="R15" i="3" s="1"/>
  <c r="S15" i="3" a="1"/>
  <c r="S15" i="3" s="1"/>
  <c r="T15" i="3" a="1"/>
  <c r="T15" i="3" s="1"/>
  <c r="U15" i="3" a="1"/>
  <c r="U15" i="3" s="1"/>
  <c r="V15" i="3" a="1"/>
  <c r="V15" i="3" s="1"/>
  <c r="W15" i="3" a="1"/>
  <c r="W15" i="3" s="1"/>
  <c r="X15" i="3" a="1"/>
  <c r="X15" i="3" s="1"/>
  <c r="Y15" i="3" a="1"/>
  <c r="Y15" i="3" s="1"/>
  <c r="Z15" i="3" a="1"/>
  <c r="Z15" i="3" s="1"/>
  <c r="AA15" i="3" a="1"/>
  <c r="AA15" i="3" s="1"/>
  <c r="AB15" i="3" a="1"/>
  <c r="AB15" i="3" s="1"/>
  <c r="AC15" i="3" a="1"/>
  <c r="AC15" i="3" s="1"/>
  <c r="AD15" i="3" a="1"/>
  <c r="AD15" i="3" s="1"/>
  <c r="AE15" i="3" a="1"/>
  <c r="AE15" i="3" s="1"/>
  <c r="AF15" i="3" a="1"/>
  <c r="AF15" i="3" s="1"/>
  <c r="AG15" i="3" a="1"/>
  <c r="AG15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K16" i="3" a="1"/>
  <c r="K16" i="3" s="1"/>
  <c r="L16" i="3" a="1"/>
  <c r="L16" i="3" s="1"/>
  <c r="M16" i="3" a="1"/>
  <c r="M16" i="3" s="1"/>
  <c r="N16" i="3" a="1"/>
  <c r="N16" i="3" s="1"/>
  <c r="O16" i="3" a="1"/>
  <c r="O16" i="3" s="1"/>
  <c r="P16" i="3" a="1"/>
  <c r="P16" i="3" s="1"/>
  <c r="Q16" i="3" a="1"/>
  <c r="Q16" i="3" s="1"/>
  <c r="R16" i="3" a="1"/>
  <c r="R16" i="3" s="1"/>
  <c r="S16" i="3" a="1"/>
  <c r="S16" i="3" s="1"/>
  <c r="T16" i="3" a="1"/>
  <c r="T16" i="3" s="1"/>
  <c r="U16" i="3" a="1"/>
  <c r="U16" i="3" s="1"/>
  <c r="V16" i="3" a="1"/>
  <c r="V16" i="3" s="1"/>
  <c r="W16" i="3" a="1"/>
  <c r="W16" i="3" s="1"/>
  <c r="X16" i="3" a="1"/>
  <c r="X16" i="3" s="1"/>
  <c r="Y16" i="3" a="1"/>
  <c r="Y16" i="3" s="1"/>
  <c r="Z16" i="3" a="1"/>
  <c r="Z16" i="3" s="1"/>
  <c r="AA16" i="3" a="1"/>
  <c r="AA16" i="3" s="1"/>
  <c r="AB16" i="3" a="1"/>
  <c r="AB16" i="3" s="1"/>
  <c r="AC16" i="3" a="1"/>
  <c r="AC16" i="3" s="1"/>
  <c r="AD16" i="3" a="1"/>
  <c r="AD16" i="3" s="1"/>
  <c r="AE16" i="3" a="1"/>
  <c r="AE16" i="3" s="1"/>
  <c r="AF16" i="3" a="1"/>
  <c r="AF16" i="3" s="1"/>
  <c r="AG16" i="3" a="1"/>
  <c r="AG16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L17" i="3" a="1"/>
  <c r="L17" i="3" s="1"/>
  <c r="M17" i="3" a="1"/>
  <c r="M17" i="3" s="1"/>
  <c r="N17" i="3" a="1"/>
  <c r="N17" i="3" s="1"/>
  <c r="O17" i="3" a="1"/>
  <c r="O17" i="3" s="1"/>
  <c r="P17" i="3" a="1"/>
  <c r="P17" i="3" s="1"/>
  <c r="Q17" i="3" a="1"/>
  <c r="Q17" i="3" s="1"/>
  <c r="R17" i="3" a="1"/>
  <c r="R17" i="3" s="1"/>
  <c r="S17" i="3" a="1"/>
  <c r="S17" i="3" s="1"/>
  <c r="T17" i="3" a="1"/>
  <c r="T17" i="3" s="1"/>
  <c r="U17" i="3" a="1"/>
  <c r="U17" i="3" s="1"/>
  <c r="V17" i="3" a="1"/>
  <c r="V17" i="3" s="1"/>
  <c r="W17" i="3" a="1"/>
  <c r="W17" i="3" s="1"/>
  <c r="X17" i="3" a="1"/>
  <c r="X17" i="3" s="1"/>
  <c r="Y17" i="3" a="1"/>
  <c r="Y17" i="3" s="1"/>
  <c r="Z17" i="3" a="1"/>
  <c r="Z17" i="3" s="1"/>
  <c r="AA17" i="3" a="1"/>
  <c r="AA17" i="3" s="1"/>
  <c r="AB17" i="3" a="1"/>
  <c r="AB17" i="3" s="1"/>
  <c r="AC17" i="3" a="1"/>
  <c r="AC17" i="3" s="1"/>
  <c r="AD17" i="3" a="1"/>
  <c r="AD17" i="3" s="1"/>
  <c r="AE17" i="3" a="1"/>
  <c r="AE17" i="3" s="1"/>
  <c r="AF17" i="3" a="1"/>
  <c r="AF17" i="3" s="1"/>
  <c r="AG17" i="3" a="1"/>
  <c r="AG17" i="3" s="1"/>
  <c r="C18" i="3" a="1"/>
  <c r="C18" i="3" s="1"/>
  <c r="D18" i="3" a="1"/>
  <c r="D18" i="3" s="1"/>
  <c r="E18" i="3" a="1"/>
  <c r="E18" i="3" s="1"/>
  <c r="F18" i="3" a="1"/>
  <c r="F18" i="3" s="1"/>
  <c r="H18" i="3" a="1"/>
  <c r="H18" i="3" s="1"/>
  <c r="I18" i="3" a="1"/>
  <c r="I18" i="3" s="1"/>
  <c r="J18" i="3" a="1"/>
  <c r="J18" i="3" s="1"/>
  <c r="K18" i="3" a="1"/>
  <c r="K18" i="3" s="1"/>
  <c r="L18" i="3" a="1"/>
  <c r="L18" i="3" s="1"/>
  <c r="M18" i="3" a="1"/>
  <c r="M18" i="3" s="1"/>
  <c r="N18" i="3" a="1"/>
  <c r="N18" i="3" s="1"/>
  <c r="O18" i="3" a="1"/>
  <c r="O18" i="3" s="1"/>
  <c r="P18" i="3" a="1"/>
  <c r="P18" i="3" s="1"/>
  <c r="Q18" i="3" a="1"/>
  <c r="Q18" i="3" s="1"/>
  <c r="R18" i="3" a="1"/>
  <c r="R18" i="3" s="1"/>
  <c r="S18" i="3" a="1"/>
  <c r="S18" i="3" s="1"/>
  <c r="T18" i="3" a="1"/>
  <c r="T18" i="3" s="1"/>
  <c r="U18" i="3" a="1"/>
  <c r="U18" i="3" s="1"/>
  <c r="V18" i="3" a="1"/>
  <c r="V18" i="3" s="1"/>
  <c r="W18" i="3" a="1"/>
  <c r="W18" i="3" s="1"/>
  <c r="X18" i="3" a="1"/>
  <c r="X18" i="3" s="1"/>
  <c r="Y18" i="3" a="1"/>
  <c r="Y18" i="3" s="1"/>
  <c r="Z18" i="3" a="1"/>
  <c r="Z18" i="3" s="1"/>
  <c r="AA18" i="3" a="1"/>
  <c r="AA18" i="3" s="1"/>
  <c r="AB18" i="3" a="1"/>
  <c r="AB18" i="3" s="1"/>
  <c r="AC18" i="3" a="1"/>
  <c r="AC18" i="3" s="1"/>
  <c r="AD18" i="3" a="1"/>
  <c r="AD18" i="3" s="1"/>
  <c r="AE18" i="3" a="1"/>
  <c r="AE18" i="3" s="1"/>
  <c r="AF18" i="3" a="1"/>
  <c r="AF18" i="3" s="1"/>
  <c r="AG18" i="3" a="1"/>
  <c r="AG18" i="3" s="1"/>
  <c r="C19" i="3" a="1"/>
  <c r="C19" i="3" s="1"/>
  <c r="D19" i="3" a="1"/>
  <c r="D19" i="3" s="1"/>
  <c r="E19" i="3" a="1"/>
  <c r="E19" i="3" s="1"/>
  <c r="F19" i="3" a="1"/>
  <c r="F19" i="3" s="1"/>
  <c r="G19" i="3" a="1"/>
  <c r="G19" i="3" s="1"/>
  <c r="H19" i="3" a="1"/>
  <c r="H19" i="3" s="1"/>
  <c r="I19" i="3" a="1"/>
  <c r="I19" i="3" s="1"/>
  <c r="J19" i="3" a="1"/>
  <c r="J19" i="3" s="1"/>
  <c r="K19" i="3" a="1"/>
  <c r="K19" i="3" s="1"/>
  <c r="L19" i="3" a="1"/>
  <c r="L19" i="3" s="1"/>
  <c r="M19" i="3" a="1"/>
  <c r="M19" i="3" s="1"/>
  <c r="N19" i="3" a="1"/>
  <c r="N19" i="3" s="1"/>
  <c r="O19" i="3" a="1"/>
  <c r="O19" i="3" s="1"/>
  <c r="P19" i="3" a="1"/>
  <c r="P19" i="3" s="1"/>
  <c r="Q19" i="3" a="1"/>
  <c r="Q19" i="3" s="1"/>
  <c r="R19" i="3" a="1"/>
  <c r="R19" i="3" s="1"/>
  <c r="S19" i="3" a="1"/>
  <c r="S19" i="3" s="1"/>
  <c r="T19" i="3" a="1"/>
  <c r="T19" i="3" s="1"/>
  <c r="U19" i="3" a="1"/>
  <c r="U19" i="3" s="1"/>
  <c r="V19" i="3" a="1"/>
  <c r="V19" i="3" s="1"/>
  <c r="W19" i="3" a="1"/>
  <c r="W19" i="3" s="1"/>
  <c r="X19" i="3" a="1"/>
  <c r="X19" i="3" s="1"/>
  <c r="Y19" i="3" a="1"/>
  <c r="Y19" i="3" s="1"/>
  <c r="Z19" i="3" a="1"/>
  <c r="Z19" i="3" s="1"/>
  <c r="AA19" i="3" a="1"/>
  <c r="AA19" i="3" s="1"/>
  <c r="AB19" i="3" a="1"/>
  <c r="AB19" i="3" s="1"/>
  <c r="AC19" i="3" a="1"/>
  <c r="AC19" i="3" s="1"/>
  <c r="AD19" i="3" a="1"/>
  <c r="AD19" i="3" s="1"/>
  <c r="AE19" i="3" a="1"/>
  <c r="AE19" i="3" s="1"/>
  <c r="AF19" i="3" a="1"/>
  <c r="AF19" i="3" s="1"/>
  <c r="AG19" i="3" a="1"/>
  <c r="AG19" i="3" s="1"/>
  <c r="D13" i="3" a="1"/>
  <c r="D13" i="3" s="1"/>
  <c r="E13" i="3" a="1"/>
  <c r="E13" i="3" s="1"/>
  <c r="F13" i="3" a="1"/>
  <c r="F13" i="3" s="1"/>
  <c r="G13" i="3" a="1"/>
  <c r="G13" i="3" s="1"/>
  <c r="H13" i="3" a="1"/>
  <c r="H13" i="3" s="1"/>
  <c r="I13" i="3" a="1"/>
  <c r="I13" i="3" s="1"/>
  <c r="J13" i="3" a="1"/>
  <c r="J13" i="3" s="1"/>
  <c r="K13" i="3" a="1"/>
  <c r="K13" i="3" s="1"/>
  <c r="L13" i="3" a="1"/>
  <c r="L13" i="3" s="1"/>
  <c r="M13" i="3" a="1"/>
  <c r="M13" i="3" s="1"/>
  <c r="N13" i="3" a="1"/>
  <c r="N13" i="3" s="1"/>
  <c r="O13" i="3" a="1"/>
  <c r="O13" i="3" s="1"/>
  <c r="P13" i="3" a="1"/>
  <c r="P13" i="3" s="1"/>
  <c r="Q13" i="3" a="1"/>
  <c r="Q13" i="3" s="1"/>
  <c r="R13" i="3" a="1"/>
  <c r="R13" i="3" s="1"/>
  <c r="S13" i="3" a="1"/>
  <c r="S13" i="3" s="1"/>
  <c r="T13" i="3" a="1"/>
  <c r="T13" i="3" s="1"/>
  <c r="U13" i="3" a="1"/>
  <c r="U13" i="3" s="1"/>
  <c r="V13" i="3" a="1"/>
  <c r="V13" i="3" s="1"/>
  <c r="W13" i="3" a="1"/>
  <c r="W13" i="3" s="1"/>
  <c r="X13" i="3" a="1"/>
  <c r="X13" i="3" s="1"/>
  <c r="Y13" i="3" a="1"/>
  <c r="Y13" i="3" s="1"/>
  <c r="Z13" i="3" a="1"/>
  <c r="Z13" i="3" s="1"/>
  <c r="AA13" i="3" a="1"/>
  <c r="AA13" i="3" s="1"/>
  <c r="AB13" i="3" a="1"/>
  <c r="AB13" i="3" s="1"/>
  <c r="AC13" i="3" a="1"/>
  <c r="AC13" i="3" s="1"/>
  <c r="AD13" i="3" a="1"/>
  <c r="AD13" i="3" s="1"/>
  <c r="AE13" i="3" a="1"/>
  <c r="AE13" i="3" s="1"/>
  <c r="AF13" i="3" a="1"/>
  <c r="AF13" i="3" s="1"/>
  <c r="AG13" i="3" a="1"/>
  <c r="AG13" i="3" s="1"/>
  <c r="D14" i="4"/>
  <c r="D4" i="4"/>
  <c r="D3" i="4"/>
  <c r="AG147" i="3" a="1"/>
  <c r="AG147" i="3" s="1"/>
  <c r="AF147" i="3" a="1"/>
  <c r="AF147" i="3" s="1"/>
  <c r="AE147" i="3" a="1"/>
  <c r="AE147" i="3" s="1"/>
  <c r="AD147" i="3" a="1"/>
  <c r="AD147" i="3" s="1"/>
  <c r="AC147" i="3" a="1"/>
  <c r="AC147" i="3" s="1"/>
  <c r="AB147" i="3" a="1"/>
  <c r="AB147" i="3" s="1"/>
  <c r="AA147" i="3" a="1"/>
  <c r="AA147" i="3" s="1"/>
  <c r="Z147" i="3" a="1"/>
  <c r="Z147" i="3" s="1"/>
  <c r="Y147" i="3" a="1"/>
  <c r="Y147" i="3" s="1"/>
  <c r="X147" i="3" a="1"/>
  <c r="X147" i="3" s="1"/>
  <c r="W147" i="3" a="1"/>
  <c r="W147" i="3" s="1"/>
  <c r="V147" i="3" a="1"/>
  <c r="V147" i="3" s="1"/>
  <c r="U147" i="3" a="1"/>
  <c r="U147" i="3" s="1"/>
  <c r="T147" i="3" a="1"/>
  <c r="T147" i="3" s="1"/>
  <c r="S147" i="3" a="1"/>
  <c r="S147" i="3" s="1"/>
  <c r="R147" i="3" a="1"/>
  <c r="R147" i="3" s="1"/>
  <c r="Q147" i="3" a="1"/>
  <c r="Q147" i="3" s="1"/>
  <c r="P147" i="3" a="1"/>
  <c r="P147" i="3" s="1"/>
  <c r="O147" i="3" a="1"/>
  <c r="O147" i="3" s="1"/>
  <c r="N147" i="3" a="1"/>
  <c r="N147" i="3" s="1"/>
  <c r="M147" i="3" a="1"/>
  <c r="M147" i="3" s="1"/>
  <c r="L147" i="3" a="1"/>
  <c r="L147" i="3" s="1"/>
  <c r="K147" i="3" a="1"/>
  <c r="K147" i="3" s="1"/>
  <c r="J147" i="3" a="1"/>
  <c r="J147" i="3" s="1"/>
  <c r="I147" i="3" a="1"/>
  <c r="I147" i="3" s="1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 s="1"/>
  <c r="AG146" i="3" a="1"/>
  <c r="AG146" i="3" s="1"/>
  <c r="AF146" i="3" a="1"/>
  <c r="AF146" i="3" s="1"/>
  <c r="AE146" i="3" a="1"/>
  <c r="AE146" i="3" s="1"/>
  <c r="AD146" i="3" a="1"/>
  <c r="AD146" i="3" s="1"/>
  <c r="AC146" i="3" a="1"/>
  <c r="AC146" i="3" s="1"/>
  <c r="AB146" i="3" a="1"/>
  <c r="AB146" i="3" s="1"/>
  <c r="AA146" i="3" a="1"/>
  <c r="AA146" i="3" s="1"/>
  <c r="Z146" i="3" a="1"/>
  <c r="Z146" i="3" s="1"/>
  <c r="Y146" i="3" a="1"/>
  <c r="Y146" i="3" s="1"/>
  <c r="X146" i="3" a="1"/>
  <c r="X146" i="3" s="1"/>
  <c r="W146" i="3" a="1"/>
  <c r="W146" i="3" s="1"/>
  <c r="V146" i="3" a="1"/>
  <c r="V146" i="3" s="1"/>
  <c r="U146" i="3" a="1"/>
  <c r="U146" i="3" s="1"/>
  <c r="T146" i="3" a="1"/>
  <c r="T146" i="3" s="1"/>
  <c r="S146" i="3" a="1"/>
  <c r="S146" i="3" s="1"/>
  <c r="R146" i="3" a="1"/>
  <c r="R146" i="3" s="1"/>
  <c r="Q146" i="3" a="1"/>
  <c r="Q146" i="3" s="1"/>
  <c r="P146" i="3" a="1"/>
  <c r="P146" i="3" s="1"/>
  <c r="O146" i="3" a="1"/>
  <c r="O146" i="3" s="1"/>
  <c r="N146" i="3" a="1"/>
  <c r="N146" i="3" s="1"/>
  <c r="M146" i="3" a="1"/>
  <c r="M146" i="3" s="1"/>
  <c r="L146" i="3" a="1"/>
  <c r="L146" i="3" s="1"/>
  <c r="K146" i="3" a="1"/>
  <c r="K146" i="3" s="1"/>
  <c r="J146" i="3" a="1"/>
  <c r="J146" i="3" s="1"/>
  <c r="I146" i="3" a="1"/>
  <c r="I146" i="3" s="1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AG145" i="3" a="1"/>
  <c r="AG145" i="3" s="1"/>
  <c r="AF145" i="3" a="1"/>
  <c r="AF145" i="3" s="1"/>
  <c r="AE145" i="3" a="1"/>
  <c r="AE145" i="3" s="1"/>
  <c r="AD145" i="3" a="1"/>
  <c r="AD145" i="3" s="1"/>
  <c r="AC145" i="3" a="1"/>
  <c r="AC145" i="3" s="1"/>
  <c r="AB145" i="3" a="1"/>
  <c r="AB145" i="3" s="1"/>
  <c r="AA145" i="3" a="1"/>
  <c r="AA145" i="3" s="1"/>
  <c r="Z145" i="3" a="1"/>
  <c r="Z145" i="3" s="1"/>
  <c r="Y145" i="3" a="1"/>
  <c r="Y145" i="3" s="1"/>
  <c r="X145" i="3" a="1"/>
  <c r="X145" i="3" s="1"/>
  <c r="W145" i="3" a="1"/>
  <c r="W145" i="3" s="1"/>
  <c r="V145" i="3" a="1"/>
  <c r="V145" i="3" s="1"/>
  <c r="U145" i="3" a="1"/>
  <c r="U145" i="3" s="1"/>
  <c r="T145" i="3" a="1"/>
  <c r="T145" i="3" s="1"/>
  <c r="S145" i="3" a="1"/>
  <c r="S145" i="3" s="1"/>
  <c r="R145" i="3" a="1"/>
  <c r="R145" i="3" s="1"/>
  <c r="Q145" i="3" a="1"/>
  <c r="Q145" i="3" s="1"/>
  <c r="P145" i="3" a="1"/>
  <c r="P145" i="3" s="1"/>
  <c r="O145" i="3" a="1"/>
  <c r="O145" i="3" s="1"/>
  <c r="N145" i="3" a="1"/>
  <c r="N145" i="3" s="1"/>
  <c r="M145" i="3" a="1"/>
  <c r="M145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 s="1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AG144" i="3" a="1"/>
  <c r="AG144" i="3" s="1"/>
  <c r="AF144" i="3" a="1"/>
  <c r="AF144" i="3" s="1"/>
  <c r="AE144" i="3" a="1"/>
  <c r="AE144" i="3" s="1"/>
  <c r="AD144" i="3" a="1"/>
  <c r="AD144" i="3" s="1"/>
  <c r="AC144" i="3" a="1"/>
  <c r="AC144" i="3" s="1"/>
  <c r="AB144" i="3" a="1"/>
  <c r="AB144" i="3" s="1"/>
  <c r="AA144" i="3" a="1"/>
  <c r="AA144" i="3" s="1"/>
  <c r="Z144" i="3" a="1"/>
  <c r="Z144" i="3" s="1"/>
  <c r="Y144" i="3" a="1"/>
  <c r="Y144" i="3" s="1"/>
  <c r="X144" i="3" a="1"/>
  <c r="X144" i="3" s="1"/>
  <c r="W144" i="3" a="1"/>
  <c r="W144" i="3" s="1"/>
  <c r="V144" i="3" a="1"/>
  <c r="V144" i="3" s="1"/>
  <c r="U144" i="3" a="1"/>
  <c r="U144" i="3" s="1"/>
  <c r="T144" i="3" a="1"/>
  <c r="T144" i="3" s="1"/>
  <c r="S144" i="3" a="1"/>
  <c r="S144" i="3" s="1"/>
  <c r="R144" i="3" a="1"/>
  <c r="R144" i="3" s="1"/>
  <c r="Q144" i="3" a="1"/>
  <c r="Q144" i="3" s="1"/>
  <c r="P144" i="3" a="1"/>
  <c r="P144" i="3" s="1"/>
  <c r="O144" i="3" a="1"/>
  <c r="O144" i="3" s="1"/>
  <c r="N144" i="3" a="1"/>
  <c r="N144" i="3" s="1"/>
  <c r="M144" i="3" a="1"/>
  <c r="M144" i="3" s="1"/>
  <c r="L144" i="3" a="1"/>
  <c r="L144" i="3" s="1"/>
  <c r="K144" i="3" a="1"/>
  <c r="K144" i="3" s="1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 s="1"/>
  <c r="D144" i="3" a="1"/>
  <c r="D144" i="3" s="1"/>
  <c r="C144" i="3" a="1"/>
  <c r="C144" i="3" s="1"/>
  <c r="AG143" i="3" a="1"/>
  <c r="AG143" i="3" s="1"/>
  <c r="AF143" i="3" a="1"/>
  <c r="AF143" i="3" s="1"/>
  <c r="AE143" i="3" a="1"/>
  <c r="AE143" i="3" s="1"/>
  <c r="AD143" i="3" a="1"/>
  <c r="AD143" i="3" s="1"/>
  <c r="AC143" i="3" a="1"/>
  <c r="AC143" i="3" s="1"/>
  <c r="AB143" i="3" a="1"/>
  <c r="AB143" i="3" s="1"/>
  <c r="AA143" i="3" a="1"/>
  <c r="AA143" i="3" s="1"/>
  <c r="Z143" i="3" a="1"/>
  <c r="Z143" i="3" s="1"/>
  <c r="Y143" i="3" a="1"/>
  <c r="Y143" i="3" s="1"/>
  <c r="X143" i="3" a="1"/>
  <c r="X143" i="3" s="1"/>
  <c r="W143" i="3" a="1"/>
  <c r="W143" i="3" s="1"/>
  <c r="V143" i="3" a="1"/>
  <c r="V143" i="3" s="1"/>
  <c r="U143" i="3" a="1"/>
  <c r="U143" i="3" s="1"/>
  <c r="T143" i="3" a="1"/>
  <c r="T143" i="3" s="1"/>
  <c r="S143" i="3" a="1"/>
  <c r="S143" i="3" s="1"/>
  <c r="R143" i="3" a="1"/>
  <c r="R143" i="3" s="1"/>
  <c r="Q143" i="3" a="1"/>
  <c r="Q143" i="3" s="1"/>
  <c r="P143" i="3" a="1"/>
  <c r="P143" i="3" s="1"/>
  <c r="O143" i="3" a="1"/>
  <c r="O143" i="3" s="1"/>
  <c r="N143" i="3" a="1"/>
  <c r="N143" i="3" s="1"/>
  <c r="M143" i="3" a="1"/>
  <c r="M143" i="3" s="1"/>
  <c r="L143" i="3" a="1"/>
  <c r="L143" i="3" s="1"/>
  <c r="K143" i="3" a="1"/>
  <c r="K143" i="3" s="1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AG142" i="3" a="1"/>
  <c r="AG142" i="3" s="1"/>
  <c r="AF142" i="3" a="1"/>
  <c r="AF142" i="3" s="1"/>
  <c r="AE142" i="3" a="1"/>
  <c r="AE142" i="3" s="1"/>
  <c r="AD142" i="3" a="1"/>
  <c r="AD142" i="3" s="1"/>
  <c r="AC142" i="3" a="1"/>
  <c r="AC142" i="3" s="1"/>
  <c r="AB142" i="3" a="1"/>
  <c r="AB142" i="3" s="1"/>
  <c r="AA142" i="3" a="1"/>
  <c r="AA142" i="3" s="1"/>
  <c r="Z142" i="3" a="1"/>
  <c r="Z142" i="3" s="1"/>
  <c r="Y142" i="3" a="1"/>
  <c r="Y142" i="3" s="1"/>
  <c r="X142" i="3" a="1"/>
  <c r="X142" i="3" s="1"/>
  <c r="W142" i="3" a="1"/>
  <c r="W142" i="3" s="1"/>
  <c r="V142" i="3" a="1"/>
  <c r="V142" i="3" s="1"/>
  <c r="U142" i="3" a="1"/>
  <c r="U142" i="3" s="1"/>
  <c r="T142" i="3" a="1"/>
  <c r="T142" i="3" s="1"/>
  <c r="S142" i="3" a="1"/>
  <c r="S142" i="3" s="1"/>
  <c r="R142" i="3" a="1"/>
  <c r="R142" i="3" s="1"/>
  <c r="Q142" i="3" a="1"/>
  <c r="Q142" i="3" s="1"/>
  <c r="P142" i="3" a="1"/>
  <c r="P142" i="3" s="1"/>
  <c r="O142" i="3" a="1"/>
  <c r="O142" i="3" s="1"/>
  <c r="N142" i="3" a="1"/>
  <c r="N142" i="3" s="1"/>
  <c r="M142" i="3" a="1"/>
  <c r="M142" i="3" s="1"/>
  <c r="L142" i="3" a="1"/>
  <c r="L142" i="3" s="1"/>
  <c r="K142" i="3" a="1"/>
  <c r="K142" i="3" s="1"/>
  <c r="J142" i="3" a="1"/>
  <c r="J142" i="3" s="1"/>
  <c r="I142" i="3" a="1"/>
  <c r="I142" i="3" s="1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AG141" i="3" a="1"/>
  <c r="AG141" i="3" s="1"/>
  <c r="AF141" i="3" a="1"/>
  <c r="AF141" i="3" s="1"/>
  <c r="AE141" i="3" a="1"/>
  <c r="AE141" i="3" s="1"/>
  <c r="AD141" i="3" a="1"/>
  <c r="AD141" i="3" s="1"/>
  <c r="AC141" i="3" a="1"/>
  <c r="AC141" i="3" s="1"/>
  <c r="AB141" i="3" a="1"/>
  <c r="AB141" i="3" s="1"/>
  <c r="AA141" i="3" a="1"/>
  <c r="AA141" i="3" s="1"/>
  <c r="Z141" i="3" a="1"/>
  <c r="Z141" i="3" s="1"/>
  <c r="Y141" i="3" a="1"/>
  <c r="Y141" i="3" s="1"/>
  <c r="X141" i="3" a="1"/>
  <c r="X141" i="3" s="1"/>
  <c r="W141" i="3" a="1"/>
  <c r="W141" i="3" s="1"/>
  <c r="V141" i="3" a="1"/>
  <c r="V141" i="3" s="1"/>
  <c r="U141" i="3" a="1"/>
  <c r="U141" i="3" s="1"/>
  <c r="T141" i="3" a="1"/>
  <c r="T141" i="3" s="1"/>
  <c r="S141" i="3" a="1"/>
  <c r="S141" i="3" s="1"/>
  <c r="R141" i="3" a="1"/>
  <c r="R141" i="3" s="1"/>
  <c r="Q141" i="3" a="1"/>
  <c r="Q141" i="3" s="1"/>
  <c r="P141" i="3" a="1"/>
  <c r="P141" i="3" s="1"/>
  <c r="O141" i="3" a="1"/>
  <c r="O141" i="3" s="1"/>
  <c r="N141" i="3" a="1"/>
  <c r="N141" i="3" s="1"/>
  <c r="M141" i="3" a="1"/>
  <c r="M141" i="3" s="1"/>
  <c r="L141" i="3" a="1"/>
  <c r="L141" i="3" s="1"/>
  <c r="K141" i="3" a="1"/>
  <c r="K141" i="3" s="1"/>
  <c r="J141" i="3" a="1"/>
  <c r="J141" i="3" s="1"/>
  <c r="I141" i="3" a="1"/>
  <c r="I141" i="3" s="1"/>
  <c r="H141" i="3" a="1"/>
  <c r="H141" i="3" s="1"/>
  <c r="G141" i="3" a="1"/>
  <c r="G141" i="3" s="1"/>
  <c r="F141" i="3" a="1"/>
  <c r="F141" i="3" s="1"/>
  <c r="E141" i="3" a="1"/>
  <c r="E141" i="3" s="1"/>
  <c r="D141" i="3" a="1"/>
  <c r="D141" i="3" s="1"/>
  <c r="C141" i="3" a="1"/>
  <c r="C141" i="3" s="1"/>
  <c r="AF135" i="3" a="1"/>
  <c r="AF135" i="3" s="1"/>
  <c r="AE135" i="3" a="1"/>
  <c r="AE135" i="3" s="1"/>
  <c r="AD135" i="3" a="1"/>
  <c r="AD135" i="3" s="1"/>
  <c r="AC135" i="3" a="1"/>
  <c r="AC135" i="3" s="1"/>
  <c r="AB135" i="3" a="1"/>
  <c r="AB135" i="3" s="1"/>
  <c r="AA135" i="3" a="1"/>
  <c r="AA135" i="3" s="1"/>
  <c r="Z135" i="3" a="1"/>
  <c r="Z135" i="3" s="1"/>
  <c r="Y135" i="3" a="1"/>
  <c r="Y135" i="3" s="1"/>
  <c r="X135" i="3" a="1"/>
  <c r="X135" i="3" s="1"/>
  <c r="W135" i="3" a="1"/>
  <c r="W135" i="3" s="1"/>
  <c r="V135" i="3" a="1"/>
  <c r="V135" i="3" s="1"/>
  <c r="U135" i="3" a="1"/>
  <c r="U135" i="3" s="1"/>
  <c r="T135" i="3" a="1"/>
  <c r="T135" i="3" s="1"/>
  <c r="S135" i="3" a="1"/>
  <c r="S135" i="3" s="1"/>
  <c r="R135" i="3" a="1"/>
  <c r="R135" i="3" s="1"/>
  <c r="Q135" i="3" a="1"/>
  <c r="Q135" i="3" s="1"/>
  <c r="P135" i="3" a="1"/>
  <c r="P135" i="3" s="1"/>
  <c r="O135" i="3" a="1"/>
  <c r="O135" i="3" s="1"/>
  <c r="N135" i="3" a="1"/>
  <c r="N135" i="3" s="1"/>
  <c r="M135" i="3" a="1"/>
  <c r="M135" i="3" s="1"/>
  <c r="L135" i="3" a="1"/>
  <c r="L135" i="3" s="1"/>
  <c r="K135" i="3" a="1"/>
  <c r="K135" i="3" s="1"/>
  <c r="J135" i="3" a="1"/>
  <c r="J135" i="3" s="1"/>
  <c r="I135" i="3" a="1"/>
  <c r="I135" i="3" s="1"/>
  <c r="H135" i="3" a="1"/>
  <c r="H135" i="3" s="1"/>
  <c r="G135" i="3" a="1"/>
  <c r="G135" i="3" s="1"/>
  <c r="F135" i="3" a="1"/>
  <c r="F135" i="3" s="1"/>
  <c r="E135" i="3" a="1"/>
  <c r="E135" i="3" s="1"/>
  <c r="D135" i="3" a="1"/>
  <c r="D135" i="3" s="1"/>
  <c r="C135" i="3" a="1"/>
  <c r="C135" i="3" s="1"/>
  <c r="AF134" i="3" a="1"/>
  <c r="AF134" i="3" s="1"/>
  <c r="AE134" i="3" a="1"/>
  <c r="AE134" i="3" s="1"/>
  <c r="AD134" i="3" a="1"/>
  <c r="AD134" i="3" s="1"/>
  <c r="AC134" i="3" a="1"/>
  <c r="AC134" i="3" s="1"/>
  <c r="AB134" i="3" a="1"/>
  <c r="AB134" i="3" s="1"/>
  <c r="AA134" i="3" a="1"/>
  <c r="AA134" i="3" s="1"/>
  <c r="Z134" i="3" a="1"/>
  <c r="Z134" i="3" s="1"/>
  <c r="Y134" i="3" a="1"/>
  <c r="Y134" i="3" s="1"/>
  <c r="X134" i="3" a="1"/>
  <c r="X134" i="3" s="1"/>
  <c r="W134" i="3" a="1"/>
  <c r="W134" i="3" s="1"/>
  <c r="V134" i="3" a="1"/>
  <c r="V134" i="3" s="1"/>
  <c r="U134" i="3" a="1"/>
  <c r="U134" i="3" s="1"/>
  <c r="T134" i="3" a="1"/>
  <c r="T134" i="3" s="1"/>
  <c r="S134" i="3" a="1"/>
  <c r="S134" i="3" s="1"/>
  <c r="R134" i="3" a="1"/>
  <c r="R134" i="3" s="1"/>
  <c r="Q134" i="3" a="1"/>
  <c r="Q134" i="3" s="1"/>
  <c r="P134" i="3" a="1"/>
  <c r="P134" i="3" s="1"/>
  <c r="O134" i="3" a="1"/>
  <c r="O134" i="3" s="1"/>
  <c r="N134" i="3" a="1"/>
  <c r="N134" i="3" s="1"/>
  <c r="M134" i="3" a="1"/>
  <c r="M134" i="3" s="1"/>
  <c r="L134" i="3" a="1"/>
  <c r="L134" i="3" s="1"/>
  <c r="K134" i="3" a="1"/>
  <c r="K134" i="3" s="1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D134" i="3" a="1"/>
  <c r="D134" i="3" s="1"/>
  <c r="C134" i="3" a="1"/>
  <c r="C134" i="3" s="1"/>
  <c r="AF133" i="3" a="1"/>
  <c r="AF133" i="3" s="1"/>
  <c r="AE133" i="3" a="1"/>
  <c r="AE133" i="3" s="1"/>
  <c r="AD133" i="3" a="1"/>
  <c r="AD133" i="3" s="1"/>
  <c r="AC133" i="3" a="1"/>
  <c r="AC133" i="3" s="1"/>
  <c r="AB133" i="3" a="1"/>
  <c r="AB133" i="3" s="1"/>
  <c r="AA133" i="3" a="1"/>
  <c r="AA133" i="3" s="1"/>
  <c r="Z133" i="3" a="1"/>
  <c r="Z133" i="3" s="1"/>
  <c r="Y133" i="3" a="1"/>
  <c r="Y133" i="3" s="1"/>
  <c r="X133" i="3" a="1"/>
  <c r="X133" i="3" s="1"/>
  <c r="W133" i="3" a="1"/>
  <c r="W133" i="3" s="1"/>
  <c r="V133" i="3" a="1"/>
  <c r="V133" i="3" s="1"/>
  <c r="U133" i="3" a="1"/>
  <c r="U133" i="3" s="1"/>
  <c r="T133" i="3" a="1"/>
  <c r="T133" i="3" s="1"/>
  <c r="S133" i="3" a="1"/>
  <c r="S133" i="3" s="1"/>
  <c r="R133" i="3" a="1"/>
  <c r="R133" i="3" s="1"/>
  <c r="Q133" i="3" a="1"/>
  <c r="Q133" i="3" s="1"/>
  <c r="P133" i="3" a="1"/>
  <c r="P133" i="3" s="1"/>
  <c r="O133" i="3" a="1"/>
  <c r="O133" i="3" s="1"/>
  <c r="N133" i="3" a="1"/>
  <c r="N133" i="3" s="1"/>
  <c r="M133" i="3" a="1"/>
  <c r="M133" i="3" s="1"/>
  <c r="L133" i="3" a="1"/>
  <c r="L133" i="3" s="1"/>
  <c r="K133" i="3" a="1"/>
  <c r="K133" i="3" s="1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 s="1"/>
  <c r="D133" i="3" a="1"/>
  <c r="D133" i="3" s="1"/>
  <c r="C133" i="3" a="1"/>
  <c r="C133" i="3" s="1"/>
  <c r="AF132" i="3" a="1"/>
  <c r="AF132" i="3" s="1"/>
  <c r="AE132" i="3" a="1"/>
  <c r="AE132" i="3" s="1"/>
  <c r="AD132" i="3" a="1"/>
  <c r="AD132" i="3" s="1"/>
  <c r="AC132" i="3" a="1"/>
  <c r="AC132" i="3" s="1"/>
  <c r="AB132" i="3" a="1"/>
  <c r="AB132" i="3" s="1"/>
  <c r="AA132" i="3" a="1"/>
  <c r="AA132" i="3" s="1"/>
  <c r="Z132" i="3" a="1"/>
  <c r="Z132" i="3" s="1"/>
  <c r="Y132" i="3" a="1"/>
  <c r="Y132" i="3" s="1"/>
  <c r="X132" i="3" a="1"/>
  <c r="X132" i="3" s="1"/>
  <c r="W132" i="3" a="1"/>
  <c r="W132" i="3" s="1"/>
  <c r="V132" i="3" a="1"/>
  <c r="V132" i="3" s="1"/>
  <c r="U132" i="3" a="1"/>
  <c r="U132" i="3" s="1"/>
  <c r="T132" i="3" a="1"/>
  <c r="T132" i="3" s="1"/>
  <c r="S132" i="3" a="1"/>
  <c r="S132" i="3" s="1"/>
  <c r="R132" i="3" a="1"/>
  <c r="R132" i="3" s="1"/>
  <c r="Q132" i="3" a="1"/>
  <c r="Q132" i="3" s="1"/>
  <c r="P132" i="3" a="1"/>
  <c r="P132" i="3" s="1"/>
  <c r="O132" i="3" a="1"/>
  <c r="O132" i="3" s="1"/>
  <c r="N132" i="3" a="1"/>
  <c r="N132" i="3" s="1"/>
  <c r="M132" i="3" a="1"/>
  <c r="M132" i="3" s="1"/>
  <c r="L132" i="3" a="1"/>
  <c r="L132" i="3" s="1"/>
  <c r="K132" i="3" a="1"/>
  <c r="K132" i="3" s="1"/>
  <c r="J132" i="3" a="1"/>
  <c r="J132" i="3" s="1"/>
  <c r="I132" i="3" a="1"/>
  <c r="I132" i="3" s="1"/>
  <c r="H132" i="3" a="1"/>
  <c r="H132" i="3" s="1"/>
  <c r="G132" i="3" a="1"/>
  <c r="G132" i="3" s="1"/>
  <c r="F132" i="3" a="1"/>
  <c r="F132" i="3" s="1"/>
  <c r="E132" i="3" a="1"/>
  <c r="E132" i="3" s="1"/>
  <c r="D132" i="3" a="1"/>
  <c r="D132" i="3" s="1"/>
  <c r="C132" i="3" a="1"/>
  <c r="C132" i="3" s="1"/>
  <c r="AF131" i="3" a="1"/>
  <c r="AF131" i="3" s="1"/>
  <c r="AE131" i="3" a="1"/>
  <c r="AE131" i="3" s="1"/>
  <c r="AD131" i="3" a="1"/>
  <c r="AD131" i="3" s="1"/>
  <c r="AC131" i="3" a="1"/>
  <c r="AC131" i="3" s="1"/>
  <c r="AB131" i="3" a="1"/>
  <c r="AB131" i="3" s="1"/>
  <c r="AA131" i="3" a="1"/>
  <c r="AA131" i="3" s="1"/>
  <c r="Z131" i="3" a="1"/>
  <c r="Z131" i="3" s="1"/>
  <c r="Y131" i="3" a="1"/>
  <c r="Y131" i="3" s="1"/>
  <c r="X131" i="3" a="1"/>
  <c r="X131" i="3" s="1"/>
  <c r="W131" i="3" a="1"/>
  <c r="W131" i="3" s="1"/>
  <c r="V131" i="3" a="1"/>
  <c r="V131" i="3" s="1"/>
  <c r="U131" i="3" a="1"/>
  <c r="U131" i="3" s="1"/>
  <c r="T131" i="3" a="1"/>
  <c r="T131" i="3" s="1"/>
  <c r="S131" i="3" a="1"/>
  <c r="S131" i="3" s="1"/>
  <c r="R131" i="3" a="1"/>
  <c r="R131" i="3" s="1"/>
  <c r="Q131" i="3" a="1"/>
  <c r="Q131" i="3" s="1"/>
  <c r="P131" i="3" a="1"/>
  <c r="P131" i="3" s="1"/>
  <c r="O131" i="3" a="1"/>
  <c r="O131" i="3" s="1"/>
  <c r="N131" i="3" a="1"/>
  <c r="N131" i="3" s="1"/>
  <c r="M131" i="3" a="1"/>
  <c r="M131" i="3" s="1"/>
  <c r="L131" i="3" a="1"/>
  <c r="L131" i="3" s="1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 s="1"/>
  <c r="D131" i="3" a="1"/>
  <c r="D131" i="3" s="1"/>
  <c r="C131" i="3" a="1"/>
  <c r="C131" i="3" s="1"/>
  <c r="AF130" i="3" a="1"/>
  <c r="AF130" i="3" s="1"/>
  <c r="AE130" i="3" a="1"/>
  <c r="AE130" i="3" s="1"/>
  <c r="AD130" i="3" a="1"/>
  <c r="AD130" i="3" s="1"/>
  <c r="AC130" i="3" a="1"/>
  <c r="AC130" i="3" s="1"/>
  <c r="AB130" i="3" a="1"/>
  <c r="AB130" i="3" s="1"/>
  <c r="AA130" i="3" a="1"/>
  <c r="AA130" i="3" s="1"/>
  <c r="Z130" i="3" a="1"/>
  <c r="Z130" i="3" s="1"/>
  <c r="Y130" i="3" a="1"/>
  <c r="Y130" i="3" s="1"/>
  <c r="X130" i="3" a="1"/>
  <c r="X130" i="3" s="1"/>
  <c r="W130" i="3" a="1"/>
  <c r="W130" i="3" s="1"/>
  <c r="V130" i="3" a="1"/>
  <c r="V130" i="3" s="1"/>
  <c r="U130" i="3" a="1"/>
  <c r="U130" i="3" s="1"/>
  <c r="T130" i="3" a="1"/>
  <c r="T130" i="3" s="1"/>
  <c r="S130" i="3" a="1"/>
  <c r="S130" i="3" s="1"/>
  <c r="R130" i="3" a="1"/>
  <c r="R130" i="3" s="1"/>
  <c r="Q130" i="3" a="1"/>
  <c r="Q130" i="3" s="1"/>
  <c r="P130" i="3" a="1"/>
  <c r="P130" i="3" s="1"/>
  <c r="O130" i="3" a="1"/>
  <c r="O130" i="3" s="1"/>
  <c r="N130" i="3" a="1"/>
  <c r="N130" i="3" s="1"/>
  <c r="M130" i="3" a="1"/>
  <c r="M130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 s="1"/>
  <c r="G130" i="3" a="1"/>
  <c r="G130" i="3" s="1"/>
  <c r="F130" i="3" a="1"/>
  <c r="F130" i="3" s="1"/>
  <c r="E130" i="3" a="1"/>
  <c r="E130" i="3" s="1"/>
  <c r="D130" i="3" a="1"/>
  <c r="D130" i="3" s="1"/>
  <c r="C130" i="3" a="1"/>
  <c r="C130" i="3" s="1"/>
  <c r="AF129" i="3" a="1"/>
  <c r="AF129" i="3" s="1"/>
  <c r="AE129" i="3" a="1"/>
  <c r="AE129" i="3" s="1"/>
  <c r="AD129" i="3" a="1"/>
  <c r="AD129" i="3" s="1"/>
  <c r="AC129" i="3" a="1"/>
  <c r="AC129" i="3" s="1"/>
  <c r="AB129" i="3" a="1"/>
  <c r="AB129" i="3" s="1"/>
  <c r="AA129" i="3" a="1"/>
  <c r="AA129" i="3" s="1"/>
  <c r="Z129" i="3" a="1"/>
  <c r="Z129" i="3" s="1"/>
  <c r="Y129" i="3" a="1"/>
  <c r="Y129" i="3" s="1"/>
  <c r="X129" i="3" a="1"/>
  <c r="X129" i="3" s="1"/>
  <c r="W129" i="3" a="1"/>
  <c r="W129" i="3" s="1"/>
  <c r="V129" i="3" a="1"/>
  <c r="V129" i="3" s="1"/>
  <c r="U129" i="3" a="1"/>
  <c r="U129" i="3" s="1"/>
  <c r="T129" i="3" a="1"/>
  <c r="T129" i="3" s="1"/>
  <c r="S129" i="3" a="1"/>
  <c r="S129" i="3" s="1"/>
  <c r="R129" i="3" a="1"/>
  <c r="R129" i="3" s="1"/>
  <c r="Q129" i="3" a="1"/>
  <c r="Q129" i="3" s="1"/>
  <c r="P129" i="3" a="1"/>
  <c r="P129" i="3" s="1"/>
  <c r="O129" i="3" a="1"/>
  <c r="O129" i="3" s="1"/>
  <c r="N129" i="3" a="1"/>
  <c r="N129" i="3" s="1"/>
  <c r="M129" i="3" a="1"/>
  <c r="M129" i="3" s="1"/>
  <c r="L129" i="3" a="1"/>
  <c r="L129" i="3" s="1"/>
  <c r="K129" i="3" a="1"/>
  <c r="K129" i="3" s="1"/>
  <c r="J129" i="3" a="1"/>
  <c r="J129" i="3" s="1"/>
  <c r="I129" i="3" a="1"/>
  <c r="I129" i="3" s="1"/>
  <c r="H129" i="3" a="1"/>
  <c r="H129" i="3" s="1"/>
  <c r="F129" i="3" a="1"/>
  <c r="F129" i="3" s="1"/>
  <c r="E129" i="3" a="1"/>
  <c r="E129" i="3" s="1"/>
  <c r="D129" i="3" a="1"/>
  <c r="D129" i="3" s="1"/>
  <c r="C129" i="3" a="1"/>
  <c r="C129" i="3" s="1"/>
  <c r="AG123" i="3" a="1"/>
  <c r="AG123" i="3" s="1"/>
  <c r="AF123" i="3" a="1"/>
  <c r="AF123" i="3" s="1"/>
  <c r="AE123" i="3" a="1"/>
  <c r="AE123" i="3" s="1"/>
  <c r="AD123" i="3" a="1"/>
  <c r="AD123" i="3" s="1"/>
  <c r="AC123" i="3" a="1"/>
  <c r="AC123" i="3" s="1"/>
  <c r="AB123" i="3" a="1"/>
  <c r="AB123" i="3" s="1"/>
  <c r="AA123" i="3" a="1"/>
  <c r="AA123" i="3" s="1"/>
  <c r="Z123" i="3" a="1"/>
  <c r="Z123" i="3" s="1"/>
  <c r="Y123" i="3" a="1"/>
  <c r="Y123" i="3" s="1"/>
  <c r="X123" i="3" a="1"/>
  <c r="X123" i="3" s="1"/>
  <c r="W123" i="3" a="1"/>
  <c r="W123" i="3" s="1"/>
  <c r="V123" i="3" a="1"/>
  <c r="V123" i="3" s="1"/>
  <c r="U123" i="3" a="1"/>
  <c r="U123" i="3" s="1"/>
  <c r="T123" i="3" a="1"/>
  <c r="T123" i="3" s="1"/>
  <c r="S123" i="3" a="1"/>
  <c r="S123" i="3" s="1"/>
  <c r="R123" i="3" a="1"/>
  <c r="R123" i="3" s="1"/>
  <c r="Q123" i="3" a="1"/>
  <c r="Q123" i="3" s="1"/>
  <c r="P123" i="3" a="1"/>
  <c r="P123" i="3" s="1"/>
  <c r="O123" i="3" a="1"/>
  <c r="O123" i="3" s="1"/>
  <c r="N123" i="3" a="1"/>
  <c r="N123" i="3" s="1"/>
  <c r="M123" i="3" a="1"/>
  <c r="M123" i="3" s="1"/>
  <c r="L123" i="3" a="1"/>
  <c r="L123" i="3" s="1"/>
  <c r="K123" i="3" a="1"/>
  <c r="K123" i="3" s="1"/>
  <c r="J123" i="3" a="1"/>
  <c r="J123" i="3" s="1"/>
  <c r="I123" i="3" a="1"/>
  <c r="I123" i="3" s="1"/>
  <c r="H123" i="3" a="1"/>
  <c r="H123" i="3" s="1"/>
  <c r="G123" i="3" a="1"/>
  <c r="G123" i="3" s="1"/>
  <c r="F123" i="3" a="1"/>
  <c r="F123" i="3" s="1"/>
  <c r="E123" i="3" a="1"/>
  <c r="E123" i="3" s="1"/>
  <c r="D123" i="3" a="1"/>
  <c r="D123" i="3" s="1"/>
  <c r="C123" i="3" a="1"/>
  <c r="C123" i="3" s="1"/>
  <c r="AG122" i="3" a="1"/>
  <c r="AG122" i="3" s="1"/>
  <c r="AF122" i="3" a="1"/>
  <c r="AF122" i="3" s="1"/>
  <c r="AE122" i="3" a="1"/>
  <c r="AE122" i="3" s="1"/>
  <c r="AD122" i="3" a="1"/>
  <c r="AD122" i="3" s="1"/>
  <c r="AC122" i="3" a="1"/>
  <c r="AC122" i="3" s="1"/>
  <c r="AB122" i="3" a="1"/>
  <c r="AB122" i="3" s="1"/>
  <c r="AA122" i="3" a="1"/>
  <c r="AA122" i="3" s="1"/>
  <c r="Z122" i="3" a="1"/>
  <c r="Z122" i="3" s="1"/>
  <c r="Y122" i="3" a="1"/>
  <c r="Y122" i="3" s="1"/>
  <c r="X122" i="3" a="1"/>
  <c r="X122" i="3" s="1"/>
  <c r="W122" i="3" a="1"/>
  <c r="W122" i="3" s="1"/>
  <c r="V122" i="3" a="1"/>
  <c r="V122" i="3" s="1"/>
  <c r="U122" i="3" a="1"/>
  <c r="U122" i="3" s="1"/>
  <c r="T122" i="3" a="1"/>
  <c r="T122" i="3" s="1"/>
  <c r="S122" i="3" a="1"/>
  <c r="S122" i="3" s="1"/>
  <c r="R122" i="3" a="1"/>
  <c r="R122" i="3" s="1"/>
  <c r="Q122" i="3" a="1"/>
  <c r="Q122" i="3" s="1"/>
  <c r="P122" i="3" a="1"/>
  <c r="P122" i="3" s="1"/>
  <c r="O122" i="3" a="1"/>
  <c r="O122" i="3" s="1"/>
  <c r="N122" i="3" a="1"/>
  <c r="N122" i="3" s="1"/>
  <c r="M122" i="3" a="1"/>
  <c r="M122" i="3" s="1"/>
  <c r="L122" i="3" a="1"/>
  <c r="L122" i="3" s="1"/>
  <c r="K122" i="3" a="1"/>
  <c r="K122" i="3" s="1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 s="1"/>
  <c r="D122" i="3" a="1"/>
  <c r="D122" i="3" s="1"/>
  <c r="C122" i="3" a="1"/>
  <c r="C122" i="3" s="1"/>
  <c r="AG121" i="3" a="1"/>
  <c r="AG121" i="3" s="1"/>
  <c r="AF121" i="3" a="1"/>
  <c r="AF121" i="3" s="1"/>
  <c r="AE121" i="3" a="1"/>
  <c r="AE121" i="3" s="1"/>
  <c r="AD121" i="3" a="1"/>
  <c r="AD121" i="3" s="1"/>
  <c r="AC121" i="3" a="1"/>
  <c r="AC121" i="3" s="1"/>
  <c r="AB121" i="3" a="1"/>
  <c r="AB121" i="3" s="1"/>
  <c r="AA121" i="3" a="1"/>
  <c r="AA121" i="3" s="1"/>
  <c r="Z121" i="3" a="1"/>
  <c r="Z121" i="3" s="1"/>
  <c r="Y121" i="3" a="1"/>
  <c r="Y121" i="3" s="1"/>
  <c r="X121" i="3" a="1"/>
  <c r="X121" i="3" s="1"/>
  <c r="W121" i="3" a="1"/>
  <c r="W121" i="3" s="1"/>
  <c r="V121" i="3" a="1"/>
  <c r="V121" i="3" s="1"/>
  <c r="U121" i="3" a="1"/>
  <c r="U121" i="3" s="1"/>
  <c r="T121" i="3" a="1"/>
  <c r="T121" i="3" s="1"/>
  <c r="S121" i="3" a="1"/>
  <c r="S121" i="3" s="1"/>
  <c r="R121" i="3" a="1"/>
  <c r="R121" i="3" s="1"/>
  <c r="Q121" i="3" a="1"/>
  <c r="Q121" i="3" s="1"/>
  <c r="P121" i="3" a="1"/>
  <c r="P121" i="3" s="1"/>
  <c r="O121" i="3" a="1"/>
  <c r="O121" i="3" s="1"/>
  <c r="N121" i="3" a="1"/>
  <c r="N121" i="3" s="1"/>
  <c r="M121" i="3" a="1"/>
  <c r="M121" i="3" s="1"/>
  <c r="L121" i="3" a="1"/>
  <c r="L121" i="3" s="1"/>
  <c r="K121" i="3" a="1"/>
  <c r="K121" i="3" s="1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 s="1"/>
  <c r="D121" i="3" a="1"/>
  <c r="D121" i="3" s="1"/>
  <c r="C121" i="3" a="1"/>
  <c r="C121" i="3" s="1"/>
  <c r="AG120" i="3" a="1"/>
  <c r="AG120" i="3" s="1"/>
  <c r="AF120" i="3" a="1"/>
  <c r="AF120" i="3" s="1"/>
  <c r="AE120" i="3" a="1"/>
  <c r="AE120" i="3" s="1"/>
  <c r="AD120" i="3" a="1"/>
  <c r="AD120" i="3" s="1"/>
  <c r="AC120" i="3" a="1"/>
  <c r="AC120" i="3" s="1"/>
  <c r="AB120" i="3" a="1"/>
  <c r="AB120" i="3" s="1"/>
  <c r="AA120" i="3" a="1"/>
  <c r="AA120" i="3" s="1"/>
  <c r="Z120" i="3" a="1"/>
  <c r="Z120" i="3" s="1"/>
  <c r="Y120" i="3" a="1"/>
  <c r="Y120" i="3" s="1"/>
  <c r="X120" i="3" a="1"/>
  <c r="X120" i="3" s="1"/>
  <c r="W120" i="3" a="1"/>
  <c r="W120" i="3" s="1"/>
  <c r="V120" i="3" a="1"/>
  <c r="V120" i="3" s="1"/>
  <c r="U120" i="3" a="1"/>
  <c r="U120" i="3" s="1"/>
  <c r="T120" i="3" a="1"/>
  <c r="T120" i="3" s="1"/>
  <c r="S120" i="3" a="1"/>
  <c r="S120" i="3" s="1"/>
  <c r="R120" i="3" a="1"/>
  <c r="R120" i="3" s="1"/>
  <c r="Q120" i="3" a="1"/>
  <c r="Q120" i="3" s="1"/>
  <c r="P120" i="3" a="1"/>
  <c r="P120" i="3" s="1"/>
  <c r="O120" i="3" a="1"/>
  <c r="O120" i="3" s="1"/>
  <c r="N120" i="3" a="1"/>
  <c r="N120" i="3" s="1"/>
  <c r="M120" i="3" a="1"/>
  <c r="M120" i="3" s="1"/>
  <c r="L120" i="3" a="1"/>
  <c r="L120" i="3" s="1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AG119" i="3" a="1"/>
  <c r="AG119" i="3" s="1"/>
  <c r="AF119" i="3" a="1"/>
  <c r="AF119" i="3" s="1"/>
  <c r="AE119" i="3" a="1"/>
  <c r="AE119" i="3" s="1"/>
  <c r="AD119" i="3" a="1"/>
  <c r="AD119" i="3" s="1"/>
  <c r="AC119" i="3" a="1"/>
  <c r="AC119" i="3" s="1"/>
  <c r="AB119" i="3" a="1"/>
  <c r="AB119" i="3" s="1"/>
  <c r="AA119" i="3" a="1"/>
  <c r="AA119" i="3" s="1"/>
  <c r="Z119" i="3" a="1"/>
  <c r="Z119" i="3" s="1"/>
  <c r="Y119" i="3" a="1"/>
  <c r="Y119" i="3" s="1"/>
  <c r="X119" i="3" a="1"/>
  <c r="X119" i="3" s="1"/>
  <c r="W119" i="3" a="1"/>
  <c r="W119" i="3" s="1"/>
  <c r="V119" i="3" a="1"/>
  <c r="V119" i="3" s="1"/>
  <c r="U119" i="3" a="1"/>
  <c r="U119" i="3" s="1"/>
  <c r="T119" i="3" a="1"/>
  <c r="T119" i="3" s="1"/>
  <c r="S119" i="3" a="1"/>
  <c r="S119" i="3" s="1"/>
  <c r="R119" i="3" a="1"/>
  <c r="R119" i="3" s="1"/>
  <c r="Q119" i="3" a="1"/>
  <c r="Q119" i="3" s="1"/>
  <c r="P119" i="3" a="1"/>
  <c r="P119" i="3" s="1"/>
  <c r="O119" i="3" a="1"/>
  <c r="O119" i="3" s="1"/>
  <c r="N119" i="3" a="1"/>
  <c r="N119" i="3" s="1"/>
  <c r="M119" i="3" a="1"/>
  <c r="M119" i="3" s="1"/>
  <c r="L119" i="3" a="1"/>
  <c r="L119" i="3" s="1"/>
  <c r="K119" i="3" a="1"/>
  <c r="K119" i="3" s="1"/>
  <c r="J119" i="3" a="1"/>
  <c r="J119" i="3" s="1"/>
  <c r="I119" i="3" a="1"/>
  <c r="I119" i="3" s="1"/>
  <c r="H119" i="3" a="1"/>
  <c r="H119" i="3" s="1"/>
  <c r="G119" i="3" a="1"/>
  <c r="G119" i="3" s="1"/>
  <c r="F119" i="3" a="1"/>
  <c r="F119" i="3" s="1"/>
  <c r="E119" i="3" a="1"/>
  <c r="E119" i="3" s="1"/>
  <c r="D119" i="3" a="1"/>
  <c r="D119" i="3" s="1"/>
  <c r="C119" i="3" a="1"/>
  <c r="C119" i="3" s="1"/>
  <c r="AG118" i="3" a="1"/>
  <c r="AG118" i="3" s="1"/>
  <c r="AF118" i="3" a="1"/>
  <c r="AF118" i="3" s="1"/>
  <c r="AE118" i="3" a="1"/>
  <c r="AE118" i="3" s="1"/>
  <c r="AD118" i="3" a="1"/>
  <c r="AD118" i="3" s="1"/>
  <c r="AC118" i="3" a="1"/>
  <c r="AC118" i="3" s="1"/>
  <c r="AB118" i="3" a="1"/>
  <c r="AB118" i="3" s="1"/>
  <c r="AA118" i="3" a="1"/>
  <c r="AA118" i="3" s="1"/>
  <c r="Z118" i="3" a="1"/>
  <c r="Z118" i="3" s="1"/>
  <c r="Y118" i="3" a="1"/>
  <c r="Y118" i="3" s="1"/>
  <c r="X118" i="3" a="1"/>
  <c r="X118" i="3" s="1"/>
  <c r="W118" i="3" a="1"/>
  <c r="W118" i="3" s="1"/>
  <c r="V118" i="3" a="1"/>
  <c r="V118" i="3" s="1"/>
  <c r="U118" i="3" a="1"/>
  <c r="U118" i="3" s="1"/>
  <c r="T118" i="3" a="1"/>
  <c r="T118" i="3" s="1"/>
  <c r="S118" i="3" a="1"/>
  <c r="S118" i="3" s="1"/>
  <c r="R118" i="3" a="1"/>
  <c r="R118" i="3" s="1"/>
  <c r="Q118" i="3" a="1"/>
  <c r="Q118" i="3" s="1"/>
  <c r="P118" i="3" a="1"/>
  <c r="P118" i="3" s="1"/>
  <c r="O118" i="3" a="1"/>
  <c r="O118" i="3" s="1"/>
  <c r="N118" i="3" a="1"/>
  <c r="N118" i="3" s="1"/>
  <c r="M118" i="3" a="1"/>
  <c r="M118" i="3" s="1"/>
  <c r="L118" i="3" a="1"/>
  <c r="L118" i="3" s="1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AG117" i="3" a="1"/>
  <c r="AG117" i="3" s="1"/>
  <c r="AF117" i="3" a="1"/>
  <c r="AF117" i="3" s="1"/>
  <c r="AE117" i="3" a="1"/>
  <c r="AE117" i="3" s="1"/>
  <c r="AD117" i="3" a="1"/>
  <c r="AD117" i="3" s="1"/>
  <c r="AC117" i="3" a="1"/>
  <c r="AC117" i="3" s="1"/>
  <c r="AB117" i="3" a="1"/>
  <c r="AB117" i="3" s="1"/>
  <c r="AA117" i="3" a="1"/>
  <c r="AA117" i="3" s="1"/>
  <c r="Z117" i="3" a="1"/>
  <c r="Z117" i="3" s="1"/>
  <c r="Y117" i="3" a="1"/>
  <c r="Y117" i="3" s="1"/>
  <c r="X117" i="3" a="1"/>
  <c r="X117" i="3" s="1"/>
  <c r="W117" i="3" a="1"/>
  <c r="W117" i="3" s="1"/>
  <c r="V117" i="3" a="1"/>
  <c r="V117" i="3" s="1"/>
  <c r="U117" i="3" a="1"/>
  <c r="U117" i="3" s="1"/>
  <c r="T117" i="3" a="1"/>
  <c r="T117" i="3" s="1"/>
  <c r="S117" i="3" a="1"/>
  <c r="S117" i="3" s="1"/>
  <c r="R117" i="3" a="1"/>
  <c r="R117" i="3" s="1"/>
  <c r="Q117" i="3" a="1"/>
  <c r="Q117" i="3" s="1"/>
  <c r="P117" i="3" a="1"/>
  <c r="P117" i="3" s="1"/>
  <c r="O117" i="3" a="1"/>
  <c r="O117" i="3" s="1"/>
  <c r="N117" i="3" a="1"/>
  <c r="N117" i="3" s="1"/>
  <c r="M117" i="3" a="1"/>
  <c r="M117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 s="1"/>
  <c r="D117" i="3" a="1"/>
  <c r="D117" i="3" s="1"/>
  <c r="C117" i="3" a="1"/>
  <c r="C117" i="3" s="1"/>
  <c r="AF111" i="3" a="1"/>
  <c r="AF111" i="3" s="1"/>
  <c r="AE111" i="3" a="1"/>
  <c r="AE111" i="3" s="1"/>
  <c r="AD111" i="3" a="1"/>
  <c r="AD111" i="3" s="1"/>
  <c r="AC111" i="3" a="1"/>
  <c r="AC111" i="3" s="1"/>
  <c r="AB111" i="3" a="1"/>
  <c r="AB111" i="3" s="1"/>
  <c r="AA111" i="3" a="1"/>
  <c r="AA111" i="3" s="1"/>
  <c r="Z111" i="3" a="1"/>
  <c r="Z111" i="3" s="1"/>
  <c r="Y111" i="3" a="1"/>
  <c r="Y111" i="3" s="1"/>
  <c r="X111" i="3" a="1"/>
  <c r="X111" i="3" s="1"/>
  <c r="W111" i="3" a="1"/>
  <c r="W111" i="3" s="1"/>
  <c r="V111" i="3" a="1"/>
  <c r="V111" i="3" s="1"/>
  <c r="U111" i="3" a="1"/>
  <c r="U111" i="3" s="1"/>
  <c r="T111" i="3" a="1"/>
  <c r="T111" i="3" s="1"/>
  <c r="S111" i="3" a="1"/>
  <c r="S111" i="3" s="1"/>
  <c r="R111" i="3" a="1"/>
  <c r="R111" i="3" s="1"/>
  <c r="Q111" i="3" a="1"/>
  <c r="Q111" i="3" s="1"/>
  <c r="P111" i="3" a="1"/>
  <c r="P111" i="3" s="1"/>
  <c r="O111" i="3" a="1"/>
  <c r="O111" i="3" s="1"/>
  <c r="N111" i="3" a="1"/>
  <c r="N111" i="3" s="1"/>
  <c r="M111" i="3" a="1"/>
  <c r="M111" i="3" s="1"/>
  <c r="L111" i="3" a="1"/>
  <c r="L111" i="3" s="1"/>
  <c r="K111" i="3" a="1"/>
  <c r="K111" i="3" s="1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AF110" i="3" a="1"/>
  <c r="AF110" i="3" s="1"/>
  <c r="AE110" i="3" a="1"/>
  <c r="AE110" i="3" s="1"/>
  <c r="AD110" i="3" a="1"/>
  <c r="AD110" i="3" s="1"/>
  <c r="AC110" i="3" a="1"/>
  <c r="AC110" i="3" s="1"/>
  <c r="AB110" i="3" a="1"/>
  <c r="AB110" i="3" s="1"/>
  <c r="AA110" i="3" a="1"/>
  <c r="AA110" i="3" s="1"/>
  <c r="Z110" i="3" a="1"/>
  <c r="Z110" i="3" s="1"/>
  <c r="Y110" i="3" a="1"/>
  <c r="Y110" i="3" s="1"/>
  <c r="X110" i="3" a="1"/>
  <c r="X110" i="3" s="1"/>
  <c r="W110" i="3" a="1"/>
  <c r="W110" i="3" s="1"/>
  <c r="V110" i="3" a="1"/>
  <c r="V110" i="3" s="1"/>
  <c r="U110" i="3" a="1"/>
  <c r="U110" i="3" s="1"/>
  <c r="T110" i="3" a="1"/>
  <c r="T110" i="3" s="1"/>
  <c r="S110" i="3" a="1"/>
  <c r="S110" i="3" s="1"/>
  <c r="R110" i="3" a="1"/>
  <c r="R110" i="3" s="1"/>
  <c r="Q110" i="3" a="1"/>
  <c r="Q110" i="3" s="1"/>
  <c r="P110" i="3" a="1"/>
  <c r="P110" i="3" s="1"/>
  <c r="O110" i="3" a="1"/>
  <c r="O110" i="3" s="1"/>
  <c r="N110" i="3" a="1"/>
  <c r="N110" i="3" s="1"/>
  <c r="M110" i="3" a="1"/>
  <c r="M110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AF109" i="3" a="1"/>
  <c r="AF109" i="3" s="1"/>
  <c r="AE109" i="3" a="1"/>
  <c r="AE109" i="3" s="1"/>
  <c r="AD109" i="3" a="1"/>
  <c r="AD109" i="3" s="1"/>
  <c r="AC109" i="3" a="1"/>
  <c r="AC109" i="3" s="1"/>
  <c r="AB109" i="3" a="1"/>
  <c r="AB109" i="3" s="1"/>
  <c r="AA109" i="3" a="1"/>
  <c r="AA109" i="3" s="1"/>
  <c r="Z109" i="3" a="1"/>
  <c r="Z109" i="3" s="1"/>
  <c r="Y109" i="3" a="1"/>
  <c r="Y109" i="3" s="1"/>
  <c r="X109" i="3" a="1"/>
  <c r="X109" i="3" s="1"/>
  <c r="W109" i="3" a="1"/>
  <c r="W109" i="3" s="1"/>
  <c r="V109" i="3" a="1"/>
  <c r="V109" i="3" s="1"/>
  <c r="U109" i="3" a="1"/>
  <c r="U109" i="3" s="1"/>
  <c r="T109" i="3" a="1"/>
  <c r="T109" i="3" s="1"/>
  <c r="S109" i="3" a="1"/>
  <c r="S109" i="3" s="1"/>
  <c r="R109" i="3" a="1"/>
  <c r="R109" i="3" s="1"/>
  <c r="Q109" i="3" a="1"/>
  <c r="Q109" i="3" s="1"/>
  <c r="P109" i="3" a="1"/>
  <c r="P109" i="3" s="1"/>
  <c r="O109" i="3" a="1"/>
  <c r="O109" i="3" s="1"/>
  <c r="N109" i="3" a="1"/>
  <c r="N109" i="3" s="1"/>
  <c r="M109" i="3" a="1"/>
  <c r="M109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 s="1"/>
  <c r="E109" i="3" a="1"/>
  <c r="E109" i="3" s="1"/>
  <c r="D109" i="3" a="1"/>
  <c r="D109" i="3" s="1"/>
  <c r="C109" i="3" a="1"/>
  <c r="C109" i="3" s="1"/>
  <c r="AF108" i="3" a="1"/>
  <c r="AF108" i="3" s="1"/>
  <c r="AE108" i="3" a="1"/>
  <c r="AE108" i="3" s="1"/>
  <c r="AD108" i="3" a="1"/>
  <c r="AD108" i="3" s="1"/>
  <c r="AC108" i="3" a="1"/>
  <c r="AC108" i="3" s="1"/>
  <c r="AB108" i="3" a="1"/>
  <c r="AB108" i="3" s="1"/>
  <c r="AA108" i="3" a="1"/>
  <c r="AA108" i="3" s="1"/>
  <c r="Z108" i="3" a="1"/>
  <c r="Z108" i="3" s="1"/>
  <c r="Y108" i="3" a="1"/>
  <c r="Y108" i="3" s="1"/>
  <c r="X108" i="3" a="1"/>
  <c r="X108" i="3" s="1"/>
  <c r="W108" i="3" a="1"/>
  <c r="W108" i="3" s="1"/>
  <c r="V108" i="3" a="1"/>
  <c r="V108" i="3" s="1"/>
  <c r="U108" i="3" a="1"/>
  <c r="U108" i="3" s="1"/>
  <c r="T108" i="3" a="1"/>
  <c r="T108" i="3" s="1"/>
  <c r="S108" i="3" a="1"/>
  <c r="S108" i="3" s="1"/>
  <c r="R108" i="3" a="1"/>
  <c r="R108" i="3" s="1"/>
  <c r="Q108" i="3" a="1"/>
  <c r="Q108" i="3" s="1"/>
  <c r="P108" i="3" a="1"/>
  <c r="P108" i="3" s="1"/>
  <c r="O108" i="3" a="1"/>
  <c r="O108" i="3" s="1"/>
  <c r="N108" i="3" a="1"/>
  <c r="N108" i="3" s="1"/>
  <c r="M108" i="3" a="1"/>
  <c r="M108" i="3" s="1"/>
  <c r="L108" i="3" a="1"/>
  <c r="L108" i="3" s="1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AF107" i="3" a="1"/>
  <c r="AF107" i="3" s="1"/>
  <c r="AE107" i="3" a="1"/>
  <c r="AE107" i="3" s="1"/>
  <c r="AD107" i="3" a="1"/>
  <c r="AD107" i="3" s="1"/>
  <c r="AC107" i="3" a="1"/>
  <c r="AC107" i="3" s="1"/>
  <c r="AB107" i="3" a="1"/>
  <c r="AB107" i="3" s="1"/>
  <c r="AA107" i="3" a="1"/>
  <c r="AA107" i="3" s="1"/>
  <c r="Z107" i="3" a="1"/>
  <c r="Z107" i="3" s="1"/>
  <c r="Y107" i="3" a="1"/>
  <c r="Y107" i="3" s="1"/>
  <c r="X107" i="3" a="1"/>
  <c r="X107" i="3" s="1"/>
  <c r="W107" i="3" a="1"/>
  <c r="W107" i="3" s="1"/>
  <c r="V107" i="3" a="1"/>
  <c r="V107" i="3" s="1"/>
  <c r="U107" i="3" a="1"/>
  <c r="U107" i="3" s="1"/>
  <c r="T107" i="3" a="1"/>
  <c r="T107" i="3" s="1"/>
  <c r="S107" i="3" a="1"/>
  <c r="S107" i="3" s="1"/>
  <c r="R107" i="3" a="1"/>
  <c r="R107" i="3" s="1"/>
  <c r="Q107" i="3" a="1"/>
  <c r="Q107" i="3" s="1"/>
  <c r="P107" i="3" a="1"/>
  <c r="P107" i="3" s="1"/>
  <c r="O107" i="3" a="1"/>
  <c r="O107" i="3" s="1"/>
  <c r="N107" i="3" a="1"/>
  <c r="N107" i="3" s="1"/>
  <c r="M107" i="3" a="1"/>
  <c r="M107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 s="1"/>
  <c r="D107" i="3" a="1"/>
  <c r="D107" i="3" s="1"/>
  <c r="C107" i="3" a="1"/>
  <c r="C107" i="3" s="1"/>
  <c r="AF106" i="3" a="1"/>
  <c r="AF106" i="3" s="1"/>
  <c r="AE106" i="3" a="1"/>
  <c r="AE106" i="3" s="1"/>
  <c r="AD106" i="3" a="1"/>
  <c r="AD106" i="3" s="1"/>
  <c r="AC106" i="3" a="1"/>
  <c r="AC106" i="3" s="1"/>
  <c r="AB106" i="3" a="1"/>
  <c r="AB106" i="3" s="1"/>
  <c r="AA106" i="3" a="1"/>
  <c r="AA106" i="3" s="1"/>
  <c r="Z106" i="3" a="1"/>
  <c r="Z106" i="3" s="1"/>
  <c r="Y106" i="3" a="1"/>
  <c r="Y106" i="3" s="1"/>
  <c r="X106" i="3" a="1"/>
  <c r="X106" i="3" s="1"/>
  <c r="W106" i="3" a="1"/>
  <c r="W106" i="3" s="1"/>
  <c r="V106" i="3" a="1"/>
  <c r="V106" i="3" s="1"/>
  <c r="U106" i="3" a="1"/>
  <c r="U106" i="3" s="1"/>
  <c r="T106" i="3" a="1"/>
  <c r="T106" i="3" s="1"/>
  <c r="S106" i="3" a="1"/>
  <c r="S106" i="3" s="1"/>
  <c r="R106" i="3" a="1"/>
  <c r="R106" i="3" s="1"/>
  <c r="Q106" i="3" a="1"/>
  <c r="Q106" i="3" s="1"/>
  <c r="P106" i="3" a="1"/>
  <c r="P106" i="3" s="1"/>
  <c r="O106" i="3" a="1"/>
  <c r="O106" i="3" s="1"/>
  <c r="N106" i="3" a="1"/>
  <c r="N106" i="3" s="1"/>
  <c r="M106" i="3" a="1"/>
  <c r="M106" i="3" s="1"/>
  <c r="L106" i="3" a="1"/>
  <c r="L106" i="3" s="1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 s="1"/>
  <c r="E106" i="3" a="1"/>
  <c r="E106" i="3" s="1"/>
  <c r="D106" i="3" a="1"/>
  <c r="D106" i="3" s="1"/>
  <c r="C106" i="3" a="1"/>
  <c r="C106" i="3" s="1"/>
  <c r="AF105" i="3" a="1"/>
  <c r="AF105" i="3" s="1"/>
  <c r="AE105" i="3" a="1"/>
  <c r="AE105" i="3" s="1"/>
  <c r="AD105" i="3" a="1"/>
  <c r="AD105" i="3" s="1"/>
  <c r="AC105" i="3" a="1"/>
  <c r="AC105" i="3" s="1"/>
  <c r="AB105" i="3" a="1"/>
  <c r="AB105" i="3" s="1"/>
  <c r="AA105" i="3" a="1"/>
  <c r="AA105" i="3" s="1"/>
  <c r="Z105" i="3" a="1"/>
  <c r="Z105" i="3" s="1"/>
  <c r="Y105" i="3" a="1"/>
  <c r="Y105" i="3" s="1"/>
  <c r="X105" i="3" a="1"/>
  <c r="X105" i="3" s="1"/>
  <c r="W105" i="3" a="1"/>
  <c r="W105" i="3" s="1"/>
  <c r="V105" i="3" a="1"/>
  <c r="V105" i="3" s="1"/>
  <c r="U105" i="3" a="1"/>
  <c r="U105" i="3" s="1"/>
  <c r="T105" i="3" a="1"/>
  <c r="T105" i="3" s="1"/>
  <c r="S105" i="3" a="1"/>
  <c r="S105" i="3" s="1"/>
  <c r="R105" i="3" a="1"/>
  <c r="R105" i="3" s="1"/>
  <c r="Q105" i="3" a="1"/>
  <c r="Q105" i="3" s="1"/>
  <c r="P105" i="3" a="1"/>
  <c r="P105" i="3" s="1"/>
  <c r="O105" i="3" a="1"/>
  <c r="O105" i="3" s="1"/>
  <c r="N105" i="3" a="1"/>
  <c r="N105" i="3" s="1"/>
  <c r="M105" i="3" a="1"/>
  <c r="M105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AG100" i="3" a="1"/>
  <c r="AG100" i="3" s="1"/>
  <c r="AF100" i="3" a="1"/>
  <c r="AF100" i="3" s="1"/>
  <c r="AE100" i="3" a="1"/>
  <c r="AE100" i="3" s="1"/>
  <c r="AD100" i="3" a="1"/>
  <c r="AD100" i="3" s="1"/>
  <c r="AC100" i="3" a="1"/>
  <c r="AC100" i="3" s="1"/>
  <c r="AB100" i="3" a="1"/>
  <c r="AB100" i="3" s="1"/>
  <c r="AA100" i="3" a="1"/>
  <c r="AA100" i="3" s="1"/>
  <c r="Z100" i="3" a="1"/>
  <c r="Z100" i="3" s="1"/>
  <c r="Y100" i="3" a="1"/>
  <c r="Y100" i="3" s="1"/>
  <c r="X100" i="3" a="1"/>
  <c r="X100" i="3" s="1"/>
  <c r="W100" i="3" a="1"/>
  <c r="W100" i="3" s="1"/>
  <c r="V100" i="3" a="1"/>
  <c r="V100" i="3" s="1"/>
  <c r="U100" i="3" a="1"/>
  <c r="U100" i="3" s="1"/>
  <c r="T100" i="3" a="1"/>
  <c r="T100" i="3" s="1"/>
  <c r="S100" i="3" a="1"/>
  <c r="S100" i="3" s="1"/>
  <c r="R100" i="3" a="1"/>
  <c r="R100" i="3" s="1"/>
  <c r="Q100" i="3" a="1"/>
  <c r="Q100" i="3" s="1"/>
  <c r="P100" i="3" a="1"/>
  <c r="P100" i="3" s="1"/>
  <c r="O100" i="3" a="1"/>
  <c r="O100" i="3" s="1"/>
  <c r="N100" i="3" a="1"/>
  <c r="N100" i="3" s="1"/>
  <c r="M100" i="3" a="1"/>
  <c r="M100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AG99" i="3" a="1"/>
  <c r="AG99" i="3" s="1"/>
  <c r="AF99" i="3" a="1"/>
  <c r="AF99" i="3" s="1"/>
  <c r="AE99" i="3" a="1"/>
  <c r="AE99" i="3" s="1"/>
  <c r="AD99" i="3" a="1"/>
  <c r="AD99" i="3" s="1"/>
  <c r="AC99" i="3" a="1"/>
  <c r="AC99" i="3" s="1"/>
  <c r="AB99" i="3" a="1"/>
  <c r="AB99" i="3" s="1"/>
  <c r="AA99" i="3" a="1"/>
  <c r="AA99" i="3" s="1"/>
  <c r="Z99" i="3" a="1"/>
  <c r="Z99" i="3" s="1"/>
  <c r="Y99" i="3" a="1"/>
  <c r="Y99" i="3" s="1"/>
  <c r="X99" i="3" a="1"/>
  <c r="X99" i="3" s="1"/>
  <c r="W99" i="3" a="1"/>
  <c r="W99" i="3" s="1"/>
  <c r="V99" i="3" a="1"/>
  <c r="V99" i="3" s="1"/>
  <c r="U99" i="3" a="1"/>
  <c r="U99" i="3" s="1"/>
  <c r="T99" i="3" a="1"/>
  <c r="T99" i="3" s="1"/>
  <c r="S99" i="3" a="1"/>
  <c r="S99" i="3" s="1"/>
  <c r="R99" i="3" a="1"/>
  <c r="R99" i="3" s="1"/>
  <c r="Q99" i="3" a="1"/>
  <c r="Q99" i="3" s="1"/>
  <c r="P99" i="3" a="1"/>
  <c r="P99" i="3" s="1"/>
  <c r="O99" i="3" a="1"/>
  <c r="O99" i="3" s="1"/>
  <c r="N99" i="3" a="1"/>
  <c r="N99" i="3" s="1"/>
  <c r="M99" i="3" a="1"/>
  <c r="M99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 s="1"/>
  <c r="E99" i="3" a="1"/>
  <c r="E99" i="3" s="1"/>
  <c r="D99" i="3" a="1"/>
  <c r="D99" i="3" s="1"/>
  <c r="C99" i="3" a="1"/>
  <c r="C99" i="3" s="1"/>
  <c r="AG98" i="3" a="1"/>
  <c r="AG98" i="3" s="1"/>
  <c r="AF98" i="3" a="1"/>
  <c r="AF98" i="3" s="1"/>
  <c r="AE98" i="3" a="1"/>
  <c r="AE98" i="3" s="1"/>
  <c r="AD98" i="3" a="1"/>
  <c r="AD98" i="3" s="1"/>
  <c r="AC98" i="3" a="1"/>
  <c r="AC98" i="3" s="1"/>
  <c r="AB98" i="3" a="1"/>
  <c r="AB98" i="3" s="1"/>
  <c r="AA98" i="3" a="1"/>
  <c r="AA98" i="3" s="1"/>
  <c r="Z98" i="3" a="1"/>
  <c r="Z98" i="3" s="1"/>
  <c r="Y98" i="3" a="1"/>
  <c r="Y98" i="3" s="1"/>
  <c r="X98" i="3" a="1"/>
  <c r="X98" i="3" s="1"/>
  <c r="W98" i="3" a="1"/>
  <c r="W98" i="3" s="1"/>
  <c r="V98" i="3" a="1"/>
  <c r="V98" i="3" s="1"/>
  <c r="U98" i="3" a="1"/>
  <c r="U98" i="3" s="1"/>
  <c r="T98" i="3" a="1"/>
  <c r="T98" i="3" s="1"/>
  <c r="S98" i="3" a="1"/>
  <c r="S98" i="3" s="1"/>
  <c r="R98" i="3" a="1"/>
  <c r="R98" i="3" s="1"/>
  <c r="Q98" i="3" a="1"/>
  <c r="Q98" i="3" s="1"/>
  <c r="P98" i="3" a="1"/>
  <c r="P98" i="3" s="1"/>
  <c r="O98" i="3" a="1"/>
  <c r="O98" i="3" s="1"/>
  <c r="N98" i="3" a="1"/>
  <c r="N98" i="3" s="1"/>
  <c r="M98" i="3" a="1"/>
  <c r="M98" i="3" s="1"/>
  <c r="L98" i="3" a="1"/>
  <c r="L98" i="3" s="1"/>
  <c r="K98" i="3" a="1"/>
  <c r="K98" i="3" s="1"/>
  <c r="J98" i="3" a="1"/>
  <c r="J98" i="3" s="1"/>
  <c r="I98" i="3" a="1"/>
  <c r="I98" i="3" s="1"/>
  <c r="H98" i="3" a="1"/>
  <c r="H98" i="3" s="1"/>
  <c r="G98" i="3" a="1"/>
  <c r="G98" i="3" s="1"/>
  <c r="F98" i="3" a="1"/>
  <c r="F98" i="3" s="1"/>
  <c r="E98" i="3" a="1"/>
  <c r="E98" i="3" s="1"/>
  <c r="D98" i="3" a="1"/>
  <c r="D98" i="3" s="1"/>
  <c r="C98" i="3" a="1"/>
  <c r="C98" i="3" s="1"/>
  <c r="AG97" i="3" a="1"/>
  <c r="AG97" i="3" s="1"/>
  <c r="AF97" i="3" a="1"/>
  <c r="AF97" i="3" s="1"/>
  <c r="AE97" i="3" a="1"/>
  <c r="AE97" i="3" s="1"/>
  <c r="AD97" i="3" a="1"/>
  <c r="AD97" i="3" s="1"/>
  <c r="AC97" i="3" a="1"/>
  <c r="AC97" i="3" s="1"/>
  <c r="AB97" i="3" a="1"/>
  <c r="AB97" i="3" s="1"/>
  <c r="AA97" i="3" a="1"/>
  <c r="AA97" i="3" s="1"/>
  <c r="Z97" i="3" a="1"/>
  <c r="Z97" i="3" s="1"/>
  <c r="Y97" i="3" a="1"/>
  <c r="Y97" i="3" s="1"/>
  <c r="X97" i="3" a="1"/>
  <c r="X97" i="3" s="1"/>
  <c r="W97" i="3" a="1"/>
  <c r="W97" i="3" s="1"/>
  <c r="V97" i="3" a="1"/>
  <c r="V97" i="3" s="1"/>
  <c r="U97" i="3" a="1"/>
  <c r="U97" i="3" s="1"/>
  <c r="T97" i="3" a="1"/>
  <c r="T97" i="3" s="1"/>
  <c r="S97" i="3" a="1"/>
  <c r="S97" i="3" s="1"/>
  <c r="R97" i="3" a="1"/>
  <c r="R97" i="3" s="1"/>
  <c r="Q97" i="3" a="1"/>
  <c r="Q97" i="3" s="1"/>
  <c r="P97" i="3" a="1"/>
  <c r="P97" i="3" s="1"/>
  <c r="O97" i="3" a="1"/>
  <c r="O97" i="3" s="1"/>
  <c r="N97" i="3" a="1"/>
  <c r="N97" i="3" s="1"/>
  <c r="M97" i="3" a="1"/>
  <c r="M97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 s="1"/>
  <c r="AG96" i="3" a="1"/>
  <c r="AG96" i="3" s="1"/>
  <c r="AF96" i="3" a="1"/>
  <c r="AF96" i="3" s="1"/>
  <c r="AE96" i="3" a="1"/>
  <c r="AE96" i="3" s="1"/>
  <c r="AD96" i="3" a="1"/>
  <c r="AD96" i="3" s="1"/>
  <c r="AC96" i="3" a="1"/>
  <c r="AC96" i="3" s="1"/>
  <c r="AB96" i="3" a="1"/>
  <c r="AB96" i="3" s="1"/>
  <c r="AA96" i="3" a="1"/>
  <c r="AA96" i="3" s="1"/>
  <c r="Z96" i="3" a="1"/>
  <c r="Z96" i="3" s="1"/>
  <c r="Y96" i="3" a="1"/>
  <c r="Y96" i="3" s="1"/>
  <c r="X96" i="3" a="1"/>
  <c r="X96" i="3" s="1"/>
  <c r="W96" i="3" a="1"/>
  <c r="W96" i="3" s="1"/>
  <c r="V96" i="3" a="1"/>
  <c r="V96" i="3" s="1"/>
  <c r="U96" i="3" a="1"/>
  <c r="U96" i="3" s="1"/>
  <c r="T96" i="3" a="1"/>
  <c r="T96" i="3" s="1"/>
  <c r="S96" i="3" a="1"/>
  <c r="S96" i="3" s="1"/>
  <c r="R96" i="3" a="1"/>
  <c r="R96" i="3" s="1"/>
  <c r="Q96" i="3" a="1"/>
  <c r="Q96" i="3" s="1"/>
  <c r="P96" i="3" a="1"/>
  <c r="P96" i="3" s="1"/>
  <c r="O96" i="3" a="1"/>
  <c r="O96" i="3" s="1"/>
  <c r="N96" i="3" a="1"/>
  <c r="N96" i="3" s="1"/>
  <c r="M96" i="3" a="1"/>
  <c r="M96" i="3" s="1"/>
  <c r="L96" i="3" a="1"/>
  <c r="L96" i="3" s="1"/>
  <c r="K96" i="3" a="1"/>
  <c r="K96" i="3" s="1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AG95" i="3" a="1"/>
  <c r="AG95" i="3" s="1"/>
  <c r="AF95" i="3" a="1"/>
  <c r="AF95" i="3" s="1"/>
  <c r="AE95" i="3" a="1"/>
  <c r="AE95" i="3" s="1"/>
  <c r="AD95" i="3" a="1"/>
  <c r="AD95" i="3" s="1"/>
  <c r="AC95" i="3" a="1"/>
  <c r="AC95" i="3" s="1"/>
  <c r="AB95" i="3" a="1"/>
  <c r="AB95" i="3" s="1"/>
  <c r="AA95" i="3" a="1"/>
  <c r="AA95" i="3" s="1"/>
  <c r="Z95" i="3" a="1"/>
  <c r="Z95" i="3" s="1"/>
  <c r="Y95" i="3" a="1"/>
  <c r="Y95" i="3" s="1"/>
  <c r="X95" i="3" a="1"/>
  <c r="X95" i="3" s="1"/>
  <c r="W95" i="3" a="1"/>
  <c r="W95" i="3" s="1"/>
  <c r="V95" i="3" a="1"/>
  <c r="V95" i="3" s="1"/>
  <c r="U95" i="3" a="1"/>
  <c r="U95" i="3" s="1"/>
  <c r="T95" i="3" a="1"/>
  <c r="T95" i="3" s="1"/>
  <c r="S95" i="3" a="1"/>
  <c r="S95" i="3" s="1"/>
  <c r="R95" i="3" a="1"/>
  <c r="R95" i="3" s="1"/>
  <c r="Q95" i="3" a="1"/>
  <c r="Q95" i="3" s="1"/>
  <c r="P95" i="3" a="1"/>
  <c r="P95" i="3" s="1"/>
  <c r="O95" i="3" a="1"/>
  <c r="O95" i="3" s="1"/>
  <c r="N95" i="3" a="1"/>
  <c r="N95" i="3" s="1"/>
  <c r="M95" i="3" a="1"/>
  <c r="M95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AG94" i="3" a="1"/>
  <c r="AG94" i="3" s="1"/>
  <c r="AF94" i="3" a="1"/>
  <c r="AF94" i="3" s="1"/>
  <c r="AE94" i="3" a="1"/>
  <c r="AE94" i="3" s="1"/>
  <c r="AD94" i="3" a="1"/>
  <c r="AD94" i="3" s="1"/>
  <c r="AC94" i="3" a="1"/>
  <c r="AC94" i="3" s="1"/>
  <c r="AB94" i="3" a="1"/>
  <c r="AB94" i="3" s="1"/>
  <c r="AA94" i="3" a="1"/>
  <c r="AA94" i="3" s="1"/>
  <c r="Z94" i="3" a="1"/>
  <c r="Z94" i="3" s="1"/>
  <c r="Y94" i="3" a="1"/>
  <c r="Y94" i="3" s="1"/>
  <c r="X94" i="3" a="1"/>
  <c r="X94" i="3" s="1"/>
  <c r="W94" i="3" a="1"/>
  <c r="W94" i="3" s="1"/>
  <c r="V94" i="3" a="1"/>
  <c r="V94" i="3" s="1"/>
  <c r="U94" i="3" a="1"/>
  <c r="U94" i="3" s="1"/>
  <c r="T94" i="3" a="1"/>
  <c r="T94" i="3" s="1"/>
  <c r="S94" i="3" a="1"/>
  <c r="S94" i="3" s="1"/>
  <c r="R94" i="3" a="1"/>
  <c r="R94" i="3" s="1"/>
  <c r="Q94" i="3" a="1"/>
  <c r="Q94" i="3" s="1"/>
  <c r="P94" i="3" a="1"/>
  <c r="P94" i="3" s="1"/>
  <c r="O94" i="3" a="1"/>
  <c r="O94" i="3" s="1"/>
  <c r="N94" i="3" a="1"/>
  <c r="N94" i="3" s="1"/>
  <c r="M94" i="3" a="1"/>
  <c r="M94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 s="1"/>
  <c r="E94" i="3" a="1"/>
  <c r="E94" i="3" s="1"/>
  <c r="D94" i="3" a="1"/>
  <c r="D94" i="3" s="1"/>
  <c r="C94" i="3" a="1"/>
  <c r="C94" i="3" s="1"/>
  <c r="AG88" i="3" a="1"/>
  <c r="AG88" i="3" s="1"/>
  <c r="AF88" i="3" a="1"/>
  <c r="AF88" i="3" s="1"/>
  <c r="AE88" i="3" a="1"/>
  <c r="AE88" i="3" s="1"/>
  <c r="AD88" i="3" a="1"/>
  <c r="AD88" i="3" s="1"/>
  <c r="AC88" i="3" a="1"/>
  <c r="AC88" i="3" s="1"/>
  <c r="AB88" i="3" a="1"/>
  <c r="AB88" i="3" s="1"/>
  <c r="AA88" i="3" a="1"/>
  <c r="AA88" i="3" s="1"/>
  <c r="Z88" i="3" a="1"/>
  <c r="Z88" i="3" s="1"/>
  <c r="Y88" i="3" a="1"/>
  <c r="Y88" i="3" s="1"/>
  <c r="X88" i="3" a="1"/>
  <c r="X88" i="3" s="1"/>
  <c r="W88" i="3" a="1"/>
  <c r="W88" i="3" s="1"/>
  <c r="V88" i="3" a="1"/>
  <c r="V88" i="3" s="1"/>
  <c r="U88" i="3" a="1"/>
  <c r="U88" i="3" s="1"/>
  <c r="T88" i="3" a="1"/>
  <c r="T88" i="3" s="1"/>
  <c r="S88" i="3" a="1"/>
  <c r="S88" i="3" s="1"/>
  <c r="R88" i="3" a="1"/>
  <c r="R88" i="3" s="1"/>
  <c r="Q88" i="3" a="1"/>
  <c r="Q88" i="3" s="1"/>
  <c r="P88" i="3" a="1"/>
  <c r="P88" i="3" s="1"/>
  <c r="O88" i="3" a="1"/>
  <c r="O88" i="3" s="1"/>
  <c r="N88" i="3" a="1"/>
  <c r="N88" i="3" s="1"/>
  <c r="M88" i="3" a="1"/>
  <c r="M88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 s="1"/>
  <c r="E88" i="3" a="1"/>
  <c r="E88" i="3" s="1"/>
  <c r="D88" i="3" a="1"/>
  <c r="D88" i="3" s="1"/>
  <c r="C88" i="3" a="1"/>
  <c r="C88" i="3" s="1"/>
  <c r="AG87" i="3" a="1"/>
  <c r="AG87" i="3" s="1"/>
  <c r="AF87" i="3" a="1"/>
  <c r="AF87" i="3" s="1"/>
  <c r="AE87" i="3" a="1"/>
  <c r="AE87" i="3" s="1"/>
  <c r="AD87" i="3" a="1"/>
  <c r="AD87" i="3" s="1"/>
  <c r="AC87" i="3" a="1"/>
  <c r="AC87" i="3" s="1"/>
  <c r="AB87" i="3" a="1"/>
  <c r="AB87" i="3" s="1"/>
  <c r="AA87" i="3" a="1"/>
  <c r="AA87" i="3" s="1"/>
  <c r="Z87" i="3" a="1"/>
  <c r="Z87" i="3" s="1"/>
  <c r="Y87" i="3" a="1"/>
  <c r="Y87" i="3" s="1"/>
  <c r="X87" i="3" a="1"/>
  <c r="X87" i="3" s="1"/>
  <c r="W87" i="3" a="1"/>
  <c r="W87" i="3" s="1"/>
  <c r="V87" i="3" a="1"/>
  <c r="V87" i="3" s="1"/>
  <c r="U87" i="3" a="1"/>
  <c r="U87" i="3" s="1"/>
  <c r="T87" i="3" a="1"/>
  <c r="T87" i="3" s="1"/>
  <c r="S87" i="3" a="1"/>
  <c r="S87" i="3" s="1"/>
  <c r="R87" i="3" a="1"/>
  <c r="R87" i="3" s="1"/>
  <c r="Q87" i="3" a="1"/>
  <c r="Q87" i="3" s="1"/>
  <c r="P87" i="3" a="1"/>
  <c r="P87" i="3" s="1"/>
  <c r="O87" i="3" a="1"/>
  <c r="O87" i="3" s="1"/>
  <c r="N87" i="3" a="1"/>
  <c r="N87" i="3" s="1"/>
  <c r="M87" i="3" a="1"/>
  <c r="M87" i="3" s="1"/>
  <c r="L87" i="3" a="1"/>
  <c r="L87" i="3" s="1"/>
  <c r="K87" i="3" a="1"/>
  <c r="K87" i="3" s="1"/>
  <c r="J87" i="3" a="1"/>
  <c r="J87" i="3" s="1"/>
  <c r="I87" i="3" a="1"/>
  <c r="I87" i="3" s="1"/>
  <c r="H87" i="3" a="1"/>
  <c r="H87" i="3" s="1"/>
  <c r="G87" i="3" a="1"/>
  <c r="G87" i="3" s="1"/>
  <c r="F87" i="3" a="1"/>
  <c r="F87" i="3" s="1"/>
  <c r="E87" i="3" a="1"/>
  <c r="E87" i="3" s="1"/>
  <c r="D87" i="3" a="1"/>
  <c r="D87" i="3" s="1"/>
  <c r="C87" i="3" a="1"/>
  <c r="C87" i="3" s="1"/>
  <c r="AG86" i="3" a="1"/>
  <c r="AG86" i="3" s="1"/>
  <c r="AF86" i="3" a="1"/>
  <c r="AF86" i="3" s="1"/>
  <c r="AE86" i="3" a="1"/>
  <c r="AE86" i="3" s="1"/>
  <c r="AD86" i="3" a="1"/>
  <c r="AD86" i="3" s="1"/>
  <c r="AC86" i="3" a="1"/>
  <c r="AC86" i="3" s="1"/>
  <c r="AB86" i="3" a="1"/>
  <c r="AB86" i="3" s="1"/>
  <c r="AA86" i="3" a="1"/>
  <c r="AA86" i="3" s="1"/>
  <c r="Z86" i="3" a="1"/>
  <c r="Z86" i="3" s="1"/>
  <c r="Y86" i="3" a="1"/>
  <c r="Y86" i="3" s="1"/>
  <c r="X86" i="3" a="1"/>
  <c r="X86" i="3" s="1"/>
  <c r="W86" i="3" a="1"/>
  <c r="W86" i="3" s="1"/>
  <c r="V86" i="3" a="1"/>
  <c r="V86" i="3" s="1"/>
  <c r="U86" i="3" a="1"/>
  <c r="U86" i="3" s="1"/>
  <c r="T86" i="3" a="1"/>
  <c r="T86" i="3" s="1"/>
  <c r="S86" i="3" a="1"/>
  <c r="S86" i="3" s="1"/>
  <c r="R86" i="3" a="1"/>
  <c r="R86" i="3" s="1"/>
  <c r="Q86" i="3" a="1"/>
  <c r="Q86" i="3" s="1"/>
  <c r="P86" i="3" a="1"/>
  <c r="P86" i="3" s="1"/>
  <c r="O86" i="3" a="1"/>
  <c r="O86" i="3" s="1"/>
  <c r="N86" i="3" a="1"/>
  <c r="N86" i="3" s="1"/>
  <c r="M86" i="3" a="1"/>
  <c r="M86" i="3" s="1"/>
  <c r="L86" i="3" a="1"/>
  <c r="L86" i="3" s="1"/>
  <c r="K86" i="3" a="1"/>
  <c r="K86" i="3" s="1"/>
  <c r="J86" i="3" a="1"/>
  <c r="J86" i="3" s="1"/>
  <c r="I86" i="3" a="1"/>
  <c r="I86" i="3" s="1"/>
  <c r="H86" i="3" a="1"/>
  <c r="H86" i="3" s="1"/>
  <c r="G86" i="3" a="1"/>
  <c r="G86" i="3" s="1"/>
  <c r="F86" i="3" a="1"/>
  <c r="F86" i="3" s="1"/>
  <c r="E86" i="3" a="1"/>
  <c r="E86" i="3" s="1"/>
  <c r="D86" i="3" a="1"/>
  <c r="D86" i="3" s="1"/>
  <c r="C86" i="3" a="1"/>
  <c r="C86" i="3" s="1"/>
  <c r="AG85" i="3" a="1"/>
  <c r="AG85" i="3" s="1"/>
  <c r="AF85" i="3" a="1"/>
  <c r="AF85" i="3" s="1"/>
  <c r="AE85" i="3" a="1"/>
  <c r="AE85" i="3" s="1"/>
  <c r="AD85" i="3" a="1"/>
  <c r="AD85" i="3" s="1"/>
  <c r="AC85" i="3" a="1"/>
  <c r="AC85" i="3" s="1"/>
  <c r="AB85" i="3" a="1"/>
  <c r="AB85" i="3" s="1"/>
  <c r="AA85" i="3" a="1"/>
  <c r="AA85" i="3" s="1"/>
  <c r="Z85" i="3" a="1"/>
  <c r="Z85" i="3" s="1"/>
  <c r="Y85" i="3" a="1"/>
  <c r="Y85" i="3" s="1"/>
  <c r="X85" i="3" a="1"/>
  <c r="X85" i="3" s="1"/>
  <c r="W85" i="3" a="1"/>
  <c r="W85" i="3" s="1"/>
  <c r="V85" i="3" a="1"/>
  <c r="V85" i="3" s="1"/>
  <c r="U85" i="3" a="1"/>
  <c r="U85" i="3" s="1"/>
  <c r="T85" i="3" a="1"/>
  <c r="T85" i="3" s="1"/>
  <c r="S85" i="3" a="1"/>
  <c r="S85" i="3" s="1"/>
  <c r="R85" i="3" a="1"/>
  <c r="R85" i="3" s="1"/>
  <c r="Q85" i="3" a="1"/>
  <c r="Q85" i="3" s="1"/>
  <c r="P85" i="3" a="1"/>
  <c r="P85" i="3" s="1"/>
  <c r="O85" i="3" a="1"/>
  <c r="O85" i="3" s="1"/>
  <c r="N85" i="3" a="1"/>
  <c r="N85" i="3" s="1"/>
  <c r="M85" i="3" a="1"/>
  <c r="M85" i="3" s="1"/>
  <c r="L85" i="3" a="1"/>
  <c r="L85" i="3" s="1"/>
  <c r="K85" i="3" a="1"/>
  <c r="K85" i="3" s="1"/>
  <c r="J85" i="3" a="1"/>
  <c r="J85" i="3" s="1"/>
  <c r="I85" i="3" a="1"/>
  <c r="I85" i="3" s="1"/>
  <c r="H85" i="3" a="1"/>
  <c r="H85" i="3" s="1"/>
  <c r="G85" i="3" a="1"/>
  <c r="G85" i="3" s="1"/>
  <c r="F85" i="3" a="1"/>
  <c r="F85" i="3" s="1"/>
  <c r="E85" i="3" a="1"/>
  <c r="E85" i="3" s="1"/>
  <c r="D85" i="3" a="1"/>
  <c r="D85" i="3" s="1"/>
  <c r="C85" i="3" a="1"/>
  <c r="C85" i="3" s="1"/>
  <c r="AG84" i="3" a="1"/>
  <c r="AG84" i="3" s="1"/>
  <c r="AF84" i="3" a="1"/>
  <c r="AF84" i="3" s="1"/>
  <c r="AE84" i="3" a="1"/>
  <c r="AE84" i="3" s="1"/>
  <c r="AD84" i="3" a="1"/>
  <c r="AD84" i="3" s="1"/>
  <c r="AC84" i="3" a="1"/>
  <c r="AC84" i="3" s="1"/>
  <c r="AB84" i="3" a="1"/>
  <c r="AB84" i="3" s="1"/>
  <c r="AA84" i="3" a="1"/>
  <c r="AA84" i="3" s="1"/>
  <c r="Z84" i="3" a="1"/>
  <c r="Z84" i="3" s="1"/>
  <c r="Y84" i="3" a="1"/>
  <c r="Y84" i="3" s="1"/>
  <c r="X84" i="3" a="1"/>
  <c r="X84" i="3" s="1"/>
  <c r="W84" i="3" a="1"/>
  <c r="W84" i="3" s="1"/>
  <c r="V84" i="3" a="1"/>
  <c r="V84" i="3" s="1"/>
  <c r="U84" i="3" a="1"/>
  <c r="U84" i="3" s="1"/>
  <c r="T84" i="3" a="1"/>
  <c r="T84" i="3" s="1"/>
  <c r="S84" i="3" a="1"/>
  <c r="S84" i="3" s="1"/>
  <c r="R84" i="3" a="1"/>
  <c r="R84" i="3" s="1"/>
  <c r="Q84" i="3" a="1"/>
  <c r="Q84" i="3" s="1"/>
  <c r="P84" i="3" a="1"/>
  <c r="P84" i="3" s="1"/>
  <c r="O84" i="3" a="1"/>
  <c r="O84" i="3" s="1"/>
  <c r="N84" i="3" a="1"/>
  <c r="N84" i="3" s="1"/>
  <c r="M84" i="3" a="1"/>
  <c r="M84" i="3" s="1"/>
  <c r="L84" i="3" a="1"/>
  <c r="L84" i="3" s="1"/>
  <c r="K84" i="3" a="1"/>
  <c r="K84" i="3" s="1"/>
  <c r="J84" i="3" a="1"/>
  <c r="J84" i="3" s="1"/>
  <c r="I84" i="3" a="1"/>
  <c r="I84" i="3" s="1"/>
  <c r="H84" i="3" a="1"/>
  <c r="H84" i="3" s="1"/>
  <c r="G84" i="3" a="1"/>
  <c r="G84" i="3" s="1"/>
  <c r="F84" i="3" a="1"/>
  <c r="F84" i="3" s="1"/>
  <c r="E84" i="3" a="1"/>
  <c r="E84" i="3" s="1"/>
  <c r="D84" i="3" a="1"/>
  <c r="D84" i="3" s="1"/>
  <c r="C84" i="3" a="1"/>
  <c r="C84" i="3" s="1"/>
  <c r="AG83" i="3" a="1"/>
  <c r="AG83" i="3" s="1"/>
  <c r="AF83" i="3" a="1"/>
  <c r="AF83" i="3" s="1"/>
  <c r="AE83" i="3" a="1"/>
  <c r="AE83" i="3" s="1"/>
  <c r="AD83" i="3" a="1"/>
  <c r="AD83" i="3" s="1"/>
  <c r="AC83" i="3" a="1"/>
  <c r="AC83" i="3" s="1"/>
  <c r="AB83" i="3" a="1"/>
  <c r="AB83" i="3" s="1"/>
  <c r="AA83" i="3" a="1"/>
  <c r="AA83" i="3" s="1"/>
  <c r="Z83" i="3" a="1"/>
  <c r="Z83" i="3" s="1"/>
  <c r="Y83" i="3" a="1"/>
  <c r="Y83" i="3" s="1"/>
  <c r="X83" i="3" a="1"/>
  <c r="X83" i="3" s="1"/>
  <c r="W83" i="3" a="1"/>
  <c r="W83" i="3" s="1"/>
  <c r="V83" i="3" a="1"/>
  <c r="V83" i="3" s="1"/>
  <c r="U83" i="3" a="1"/>
  <c r="U83" i="3" s="1"/>
  <c r="T83" i="3" a="1"/>
  <c r="T83" i="3" s="1"/>
  <c r="S83" i="3" a="1"/>
  <c r="S83" i="3" s="1"/>
  <c r="R83" i="3" a="1"/>
  <c r="R83" i="3" s="1"/>
  <c r="Q83" i="3" a="1"/>
  <c r="Q83" i="3" s="1"/>
  <c r="P83" i="3" a="1"/>
  <c r="P83" i="3" s="1"/>
  <c r="O83" i="3" a="1"/>
  <c r="O83" i="3" s="1"/>
  <c r="N83" i="3" a="1"/>
  <c r="N83" i="3" s="1"/>
  <c r="M83" i="3" a="1"/>
  <c r="M83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AG82" i="3" a="1"/>
  <c r="AG82" i="3" s="1"/>
  <c r="AF82" i="3" a="1"/>
  <c r="AF82" i="3" s="1"/>
  <c r="AE82" i="3" a="1"/>
  <c r="AE82" i="3" s="1"/>
  <c r="AD82" i="3" a="1"/>
  <c r="AD82" i="3" s="1"/>
  <c r="AC82" i="3" a="1"/>
  <c r="AC82" i="3" s="1"/>
  <c r="AB82" i="3" a="1"/>
  <c r="AB82" i="3" s="1"/>
  <c r="AA82" i="3" a="1"/>
  <c r="AA82" i="3" s="1"/>
  <c r="Z82" i="3" a="1"/>
  <c r="Z82" i="3" s="1"/>
  <c r="Y82" i="3" a="1"/>
  <c r="Y82" i="3" s="1"/>
  <c r="X82" i="3" a="1"/>
  <c r="X82" i="3" s="1"/>
  <c r="W82" i="3" a="1"/>
  <c r="W82" i="3" s="1"/>
  <c r="V82" i="3" a="1"/>
  <c r="V82" i="3" s="1"/>
  <c r="U82" i="3" a="1"/>
  <c r="U82" i="3" s="1"/>
  <c r="T82" i="3" a="1"/>
  <c r="T82" i="3" s="1"/>
  <c r="S82" i="3" a="1"/>
  <c r="S82" i="3" s="1"/>
  <c r="R82" i="3" a="1"/>
  <c r="R82" i="3" s="1"/>
  <c r="Q82" i="3" a="1"/>
  <c r="Q82" i="3" s="1"/>
  <c r="P82" i="3" a="1"/>
  <c r="P82" i="3" s="1"/>
  <c r="O82" i="3" a="1"/>
  <c r="O82" i="3" s="1"/>
  <c r="N82" i="3" a="1"/>
  <c r="N82" i="3" s="1"/>
  <c r="M82" i="3" a="1"/>
  <c r="M82" i="3" s="1"/>
  <c r="L82" i="3" a="1"/>
  <c r="L82" i="3" s="1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 s="1"/>
  <c r="AF76" i="3" a="1"/>
  <c r="AF76" i="3" s="1"/>
  <c r="AE76" i="3" a="1"/>
  <c r="AE76" i="3" s="1"/>
  <c r="AD76" i="3" a="1"/>
  <c r="AD76" i="3" s="1"/>
  <c r="AC76" i="3" a="1"/>
  <c r="AC76" i="3" s="1"/>
  <c r="AB76" i="3" a="1"/>
  <c r="AB76" i="3" s="1"/>
  <c r="AA76" i="3" a="1"/>
  <c r="AA76" i="3" s="1"/>
  <c r="Z76" i="3" a="1"/>
  <c r="Z76" i="3" s="1"/>
  <c r="Y76" i="3" a="1"/>
  <c r="Y76" i="3" s="1"/>
  <c r="X76" i="3" a="1"/>
  <c r="X76" i="3" s="1"/>
  <c r="W76" i="3" a="1"/>
  <c r="W76" i="3" s="1"/>
  <c r="V76" i="3" a="1"/>
  <c r="V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P76" i="3" a="1"/>
  <c r="P76" i="3" s="1"/>
  <c r="O76" i="3" a="1"/>
  <c r="O76" i="3" s="1"/>
  <c r="N76" i="3" a="1"/>
  <c r="N76" i="3" s="1"/>
  <c r="M76" i="3" a="1"/>
  <c r="M76" i="3" s="1"/>
  <c r="L76" i="3" a="1"/>
  <c r="L76" i="3" s="1"/>
  <c r="K76" i="3" a="1"/>
  <c r="K76" i="3" s="1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AF75" i="3" a="1"/>
  <c r="AF75" i="3" s="1"/>
  <c r="AE75" i="3" a="1"/>
  <c r="AE75" i="3" s="1"/>
  <c r="AD75" i="3" a="1"/>
  <c r="AD75" i="3" s="1"/>
  <c r="AC75" i="3" a="1"/>
  <c r="AC75" i="3" s="1"/>
  <c r="AB75" i="3" a="1"/>
  <c r="AB75" i="3" s="1"/>
  <c r="AA75" i="3" a="1"/>
  <c r="AA75" i="3" s="1"/>
  <c r="Z75" i="3" a="1"/>
  <c r="Z75" i="3" s="1"/>
  <c r="Y75" i="3" a="1"/>
  <c r="Y75" i="3" s="1"/>
  <c r="X75" i="3" a="1"/>
  <c r="X75" i="3" s="1"/>
  <c r="W75" i="3" a="1"/>
  <c r="W75" i="3" s="1"/>
  <c r="V75" i="3" a="1"/>
  <c r="V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P75" i="3" a="1"/>
  <c r="P75" i="3" s="1"/>
  <c r="O75" i="3" a="1"/>
  <c r="O75" i="3" s="1"/>
  <c r="N75" i="3" a="1"/>
  <c r="N75" i="3" s="1"/>
  <c r="M75" i="3" a="1"/>
  <c r="M75" i="3" s="1"/>
  <c r="L75" i="3" a="1"/>
  <c r="L75" i="3" s="1"/>
  <c r="K75" i="3" a="1"/>
  <c r="K75" i="3" s="1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 s="1"/>
  <c r="D75" i="3" a="1"/>
  <c r="D75" i="3" s="1"/>
  <c r="C75" i="3" a="1"/>
  <c r="C75" i="3" s="1"/>
  <c r="AF74" i="3" a="1"/>
  <c r="AF74" i="3" s="1"/>
  <c r="AE74" i="3" a="1"/>
  <c r="AE74" i="3" s="1"/>
  <c r="AD74" i="3" a="1"/>
  <c r="AD74" i="3" s="1"/>
  <c r="AC74" i="3" a="1"/>
  <c r="AC74" i="3" s="1"/>
  <c r="AB74" i="3" a="1"/>
  <c r="AB74" i="3" s="1"/>
  <c r="AA74" i="3" a="1"/>
  <c r="AA74" i="3" s="1"/>
  <c r="Z74" i="3" a="1"/>
  <c r="Z74" i="3" s="1"/>
  <c r="Y74" i="3" a="1"/>
  <c r="Y74" i="3" s="1"/>
  <c r="X74" i="3" a="1"/>
  <c r="X74" i="3" s="1"/>
  <c r="W74" i="3" a="1"/>
  <c r="W74" i="3" s="1"/>
  <c r="V74" i="3" a="1"/>
  <c r="V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 s="1"/>
  <c r="E74" i="3" a="1"/>
  <c r="E74" i="3" s="1"/>
  <c r="D74" i="3" a="1"/>
  <c r="D74" i="3" s="1"/>
  <c r="C74" i="3" a="1"/>
  <c r="C74" i="3" s="1"/>
  <c r="AF73" i="3" a="1"/>
  <c r="AF73" i="3" s="1"/>
  <c r="AE73" i="3" a="1"/>
  <c r="AE73" i="3" s="1"/>
  <c r="AD73" i="3" a="1"/>
  <c r="AD73" i="3" s="1"/>
  <c r="AC73" i="3" a="1"/>
  <c r="AC73" i="3" s="1"/>
  <c r="AB73" i="3" a="1"/>
  <c r="AB73" i="3" s="1"/>
  <c r="AA73" i="3" a="1"/>
  <c r="AA73" i="3" s="1"/>
  <c r="Z73" i="3" a="1"/>
  <c r="Z73" i="3" s="1"/>
  <c r="Y73" i="3" a="1"/>
  <c r="Y73" i="3" s="1"/>
  <c r="X73" i="3" a="1"/>
  <c r="X73" i="3" s="1"/>
  <c r="W73" i="3" a="1"/>
  <c r="W73" i="3" s="1"/>
  <c r="V73" i="3" a="1"/>
  <c r="V73" i="3" s="1"/>
  <c r="U73" i="3" a="1"/>
  <c r="U73" i="3" s="1"/>
  <c r="T73" i="3" a="1"/>
  <c r="T73" i="3" s="1"/>
  <c r="S73" i="3" a="1"/>
  <c r="S73" i="3" s="1"/>
  <c r="R73" i="3" a="1"/>
  <c r="R73" i="3" s="1"/>
  <c r="Q73" i="3" a="1"/>
  <c r="Q73" i="3" s="1"/>
  <c r="P73" i="3" a="1"/>
  <c r="P73" i="3" s="1"/>
  <c r="O73" i="3" a="1"/>
  <c r="O73" i="3" s="1"/>
  <c r="N73" i="3" a="1"/>
  <c r="N73" i="3" s="1"/>
  <c r="M73" i="3" a="1"/>
  <c r="M73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 s="1"/>
  <c r="E73" i="3" a="1"/>
  <c r="E73" i="3" s="1"/>
  <c r="D73" i="3" a="1"/>
  <c r="D73" i="3" s="1"/>
  <c r="C73" i="3" a="1"/>
  <c r="C73" i="3" s="1"/>
  <c r="AF72" i="3" a="1"/>
  <c r="AF72" i="3" s="1"/>
  <c r="AE72" i="3" a="1"/>
  <c r="AE72" i="3" s="1"/>
  <c r="AD72" i="3" a="1"/>
  <c r="AD72" i="3" s="1"/>
  <c r="AC72" i="3" a="1"/>
  <c r="AC72" i="3" s="1"/>
  <c r="AB72" i="3" a="1"/>
  <c r="AB72" i="3" s="1"/>
  <c r="AA72" i="3" a="1"/>
  <c r="AA72" i="3" s="1"/>
  <c r="Z72" i="3" a="1"/>
  <c r="Z72" i="3" s="1"/>
  <c r="Y72" i="3" a="1"/>
  <c r="Y72" i="3" s="1"/>
  <c r="X72" i="3" a="1"/>
  <c r="X72" i="3" s="1"/>
  <c r="W72" i="3" a="1"/>
  <c r="W72" i="3" s="1"/>
  <c r="V72" i="3" a="1"/>
  <c r="V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P72" i="3" a="1"/>
  <c r="P72" i="3" s="1"/>
  <c r="O72" i="3" a="1"/>
  <c r="O72" i="3" s="1"/>
  <c r="N72" i="3" a="1"/>
  <c r="N72" i="3" s="1"/>
  <c r="M72" i="3" a="1"/>
  <c r="M72" i="3" s="1"/>
  <c r="L72" i="3" a="1"/>
  <c r="L72" i="3" s="1"/>
  <c r="K72" i="3" a="1"/>
  <c r="K72" i="3" s="1"/>
  <c r="J72" i="3" a="1"/>
  <c r="J72" i="3" s="1"/>
  <c r="I72" i="3" a="1"/>
  <c r="I72" i="3" s="1"/>
  <c r="H72" i="3" a="1"/>
  <c r="H72" i="3" s="1"/>
  <c r="G72" i="3" a="1"/>
  <c r="G72" i="3" s="1"/>
  <c r="F72" i="3" a="1"/>
  <c r="F72" i="3" s="1"/>
  <c r="E72" i="3" a="1"/>
  <c r="E72" i="3" s="1"/>
  <c r="D72" i="3" a="1"/>
  <c r="D72" i="3" s="1"/>
  <c r="C72" i="3" a="1"/>
  <c r="C72" i="3" s="1"/>
  <c r="AF71" i="3" a="1"/>
  <c r="AF71" i="3" s="1"/>
  <c r="AE71" i="3" a="1"/>
  <c r="AE71" i="3" s="1"/>
  <c r="AD71" i="3" a="1"/>
  <c r="AD71" i="3" s="1"/>
  <c r="AC71" i="3" a="1"/>
  <c r="AC71" i="3" s="1"/>
  <c r="AB71" i="3" a="1"/>
  <c r="AB71" i="3" s="1"/>
  <c r="AA71" i="3" a="1"/>
  <c r="AA71" i="3" s="1"/>
  <c r="Z71" i="3" a="1"/>
  <c r="Z71" i="3" s="1"/>
  <c r="Y71" i="3" a="1"/>
  <c r="Y71" i="3" s="1"/>
  <c r="X71" i="3" a="1"/>
  <c r="X71" i="3" s="1"/>
  <c r="W71" i="3" a="1"/>
  <c r="W71" i="3" s="1"/>
  <c r="V71" i="3" a="1"/>
  <c r="V71" i="3" s="1"/>
  <c r="U71" i="3" a="1"/>
  <c r="U71" i="3" s="1"/>
  <c r="T71" i="3" a="1"/>
  <c r="T71" i="3" s="1"/>
  <c r="S71" i="3" a="1"/>
  <c r="S71" i="3" s="1"/>
  <c r="R71" i="3" a="1"/>
  <c r="R71" i="3" s="1"/>
  <c r="Q71" i="3" a="1"/>
  <c r="Q71" i="3" s="1"/>
  <c r="P71" i="3" a="1"/>
  <c r="P71" i="3" s="1"/>
  <c r="O71" i="3" a="1"/>
  <c r="O71" i="3" s="1"/>
  <c r="N71" i="3" a="1"/>
  <c r="N71" i="3" s="1"/>
  <c r="M71" i="3" a="1"/>
  <c r="M71" i="3" s="1"/>
  <c r="L71" i="3" a="1"/>
  <c r="L71" i="3" s="1"/>
  <c r="K71" i="3" a="1"/>
  <c r="K71" i="3" s="1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AF70" i="3" a="1"/>
  <c r="AF70" i="3" s="1"/>
  <c r="AE70" i="3" a="1"/>
  <c r="AE70" i="3" s="1"/>
  <c r="AD70" i="3" a="1"/>
  <c r="AD70" i="3" s="1"/>
  <c r="AC70" i="3" a="1"/>
  <c r="AC70" i="3" s="1"/>
  <c r="AB70" i="3" a="1"/>
  <c r="AB70" i="3" s="1"/>
  <c r="AA70" i="3" a="1"/>
  <c r="AA70" i="3" s="1"/>
  <c r="Z70" i="3" a="1"/>
  <c r="Z70" i="3" s="1"/>
  <c r="Y70" i="3" a="1"/>
  <c r="Y70" i="3" s="1"/>
  <c r="X70" i="3" a="1"/>
  <c r="X70" i="3" s="1"/>
  <c r="W70" i="3" a="1"/>
  <c r="W70" i="3" s="1"/>
  <c r="V70" i="3" a="1"/>
  <c r="V70" i="3" s="1"/>
  <c r="U70" i="3" a="1"/>
  <c r="U70" i="3" s="1"/>
  <c r="T70" i="3" a="1"/>
  <c r="T70" i="3" s="1"/>
  <c r="S70" i="3" a="1"/>
  <c r="S70" i="3" s="1"/>
  <c r="R70" i="3" a="1"/>
  <c r="R70" i="3" s="1"/>
  <c r="Q70" i="3" a="1"/>
  <c r="Q70" i="3" s="1"/>
  <c r="P70" i="3" a="1"/>
  <c r="P70" i="3" s="1"/>
  <c r="O70" i="3" a="1"/>
  <c r="O70" i="3" s="1"/>
  <c r="N70" i="3" a="1"/>
  <c r="N70" i="3" s="1"/>
  <c r="M70" i="3" a="1"/>
  <c r="M70" i="3" s="1"/>
  <c r="L70" i="3" a="1"/>
  <c r="L70" i="3" s="1"/>
  <c r="K70" i="3" a="1"/>
  <c r="K70" i="3" s="1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AG64" i="3" a="1"/>
  <c r="AG64" i="3" s="1"/>
  <c r="AF64" i="3" a="1"/>
  <c r="AF64" i="3" s="1"/>
  <c r="AE64" i="3" a="1"/>
  <c r="AE64" i="3" s="1"/>
  <c r="AD64" i="3" a="1"/>
  <c r="AD64" i="3" s="1"/>
  <c r="AC64" i="3" a="1"/>
  <c r="AC64" i="3" s="1"/>
  <c r="AB64" i="3" a="1"/>
  <c r="AB64" i="3" s="1"/>
  <c r="AA64" i="3" a="1"/>
  <c r="AA64" i="3" s="1"/>
  <c r="Z64" i="3" a="1"/>
  <c r="Z64" i="3" s="1"/>
  <c r="Y64" i="3" a="1"/>
  <c r="Y64" i="3" s="1"/>
  <c r="X64" i="3" a="1"/>
  <c r="X64" i="3" s="1"/>
  <c r="W64" i="3" a="1"/>
  <c r="W64" i="3" s="1"/>
  <c r="V64" i="3" a="1"/>
  <c r="V64" i="3" s="1"/>
  <c r="U64" i="3" a="1"/>
  <c r="U64" i="3" s="1"/>
  <c r="T64" i="3" a="1"/>
  <c r="T64" i="3" s="1"/>
  <c r="S64" i="3" a="1"/>
  <c r="S64" i="3" s="1"/>
  <c r="R64" i="3" a="1"/>
  <c r="R64" i="3" s="1"/>
  <c r="Q64" i="3" a="1"/>
  <c r="Q64" i="3" s="1"/>
  <c r="P64" i="3" a="1"/>
  <c r="P64" i="3" s="1"/>
  <c r="O64" i="3" a="1"/>
  <c r="O64" i="3" s="1"/>
  <c r="N64" i="3" a="1"/>
  <c r="N64" i="3" s="1"/>
  <c r="M64" i="3" a="1"/>
  <c r="M64" i="3" s="1"/>
  <c r="L64" i="3" a="1"/>
  <c r="L64" i="3" s="1"/>
  <c r="K64" i="3" a="1"/>
  <c r="K64" i="3" s="1"/>
  <c r="J64" i="3" a="1"/>
  <c r="J64" i="3" s="1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AG63" i="3" a="1"/>
  <c r="AG63" i="3" s="1"/>
  <c r="AF63" i="3" a="1"/>
  <c r="AF63" i="3" s="1"/>
  <c r="AE63" i="3" a="1"/>
  <c r="AE63" i="3" s="1"/>
  <c r="AD63" i="3" a="1"/>
  <c r="AD63" i="3" s="1"/>
  <c r="AC63" i="3" a="1"/>
  <c r="AC63" i="3" s="1"/>
  <c r="AB63" i="3" a="1"/>
  <c r="AB63" i="3" s="1"/>
  <c r="AA63" i="3" a="1"/>
  <c r="AA63" i="3" s="1"/>
  <c r="Z63" i="3" a="1"/>
  <c r="Z63" i="3" s="1"/>
  <c r="Y63" i="3" a="1"/>
  <c r="Y63" i="3" s="1"/>
  <c r="X63" i="3" a="1"/>
  <c r="X63" i="3" s="1"/>
  <c r="W63" i="3" a="1"/>
  <c r="W63" i="3" s="1"/>
  <c r="V63" i="3" a="1"/>
  <c r="V63" i="3" s="1"/>
  <c r="U63" i="3" a="1"/>
  <c r="U63" i="3" s="1"/>
  <c r="T63" i="3" a="1"/>
  <c r="T63" i="3" s="1"/>
  <c r="S63" i="3" a="1"/>
  <c r="S63" i="3" s="1"/>
  <c r="R63" i="3" a="1"/>
  <c r="R63" i="3" s="1"/>
  <c r="Q63" i="3" a="1"/>
  <c r="Q63" i="3" s="1"/>
  <c r="P63" i="3" a="1"/>
  <c r="P63" i="3" s="1"/>
  <c r="O63" i="3" a="1"/>
  <c r="O63" i="3" s="1"/>
  <c r="N63" i="3" a="1"/>
  <c r="N63" i="3" s="1"/>
  <c r="M63" i="3" a="1"/>
  <c r="M63" i="3" s="1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AG62" i="3" a="1"/>
  <c r="AG62" i="3" s="1"/>
  <c r="AF62" i="3" a="1"/>
  <c r="AF62" i="3" s="1"/>
  <c r="AE62" i="3" a="1"/>
  <c r="AE62" i="3" s="1"/>
  <c r="AD62" i="3" a="1"/>
  <c r="AD62" i="3" s="1"/>
  <c r="AC62" i="3" a="1"/>
  <c r="AC62" i="3" s="1"/>
  <c r="AB62" i="3" a="1"/>
  <c r="AB62" i="3" s="1"/>
  <c r="AA62" i="3" a="1"/>
  <c r="AA62" i="3" s="1"/>
  <c r="Z62" i="3" a="1"/>
  <c r="Z62" i="3" s="1"/>
  <c r="Y62" i="3" a="1"/>
  <c r="Y62" i="3" s="1"/>
  <c r="X62" i="3" a="1"/>
  <c r="X62" i="3" s="1"/>
  <c r="W62" i="3" a="1"/>
  <c r="W62" i="3" s="1"/>
  <c r="V62" i="3" a="1"/>
  <c r="V62" i="3" s="1"/>
  <c r="U62" i="3" a="1"/>
  <c r="U62" i="3" s="1"/>
  <c r="T62" i="3" a="1"/>
  <c r="T62" i="3" s="1"/>
  <c r="S62" i="3" a="1"/>
  <c r="S62" i="3" s="1"/>
  <c r="R62" i="3" a="1"/>
  <c r="R62" i="3" s="1"/>
  <c r="Q62" i="3" a="1"/>
  <c r="Q62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J62" i="3" a="1"/>
  <c r="J62" i="3" s="1"/>
  <c r="I62" i="3" a="1"/>
  <c r="I62" i="3" s="1"/>
  <c r="H62" i="3" a="1"/>
  <c r="H62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AG61" i="3" a="1"/>
  <c r="AG61" i="3" s="1"/>
  <c r="AF61" i="3" a="1"/>
  <c r="AF61" i="3" s="1"/>
  <c r="AE61" i="3" a="1"/>
  <c r="AE61" i="3" s="1"/>
  <c r="AD61" i="3" a="1"/>
  <c r="AD61" i="3" s="1"/>
  <c r="AC61" i="3" a="1"/>
  <c r="AC61" i="3" s="1"/>
  <c r="AB61" i="3" a="1"/>
  <c r="AB61" i="3" s="1"/>
  <c r="AA61" i="3" a="1"/>
  <c r="AA61" i="3" s="1"/>
  <c r="Z61" i="3" a="1"/>
  <c r="Z61" i="3" s="1"/>
  <c r="Y61" i="3" a="1"/>
  <c r="Y61" i="3" s="1"/>
  <c r="X61" i="3" a="1"/>
  <c r="X61" i="3" s="1"/>
  <c r="W61" i="3" a="1"/>
  <c r="W61" i="3" s="1"/>
  <c r="V61" i="3" a="1"/>
  <c r="V61" i="3" s="1"/>
  <c r="U61" i="3" a="1"/>
  <c r="U61" i="3" s="1"/>
  <c r="T61" i="3" a="1"/>
  <c r="T61" i="3" s="1"/>
  <c r="S61" i="3" a="1"/>
  <c r="S61" i="3" s="1"/>
  <c r="R61" i="3" a="1"/>
  <c r="R61" i="3" s="1"/>
  <c r="Q61" i="3" a="1"/>
  <c r="Q61" i="3" s="1"/>
  <c r="P61" i="3" a="1"/>
  <c r="P61" i="3" s="1"/>
  <c r="O61" i="3" a="1"/>
  <c r="O61" i="3" s="1"/>
  <c r="N61" i="3" a="1"/>
  <c r="N61" i="3" s="1"/>
  <c r="M61" i="3" a="1"/>
  <c r="M61" i="3" s="1"/>
  <c r="L61" i="3" a="1"/>
  <c r="L61" i="3" s="1"/>
  <c r="K61" i="3" a="1"/>
  <c r="K61" i="3" s="1"/>
  <c r="J61" i="3" a="1"/>
  <c r="J61" i="3" s="1"/>
  <c r="I61" i="3" a="1"/>
  <c r="I61" i="3" s="1"/>
  <c r="H61" i="3" a="1"/>
  <c r="H61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AG60" i="3" a="1"/>
  <c r="AG60" i="3" s="1"/>
  <c r="AF60" i="3" a="1"/>
  <c r="AF60" i="3" s="1"/>
  <c r="AE60" i="3" a="1"/>
  <c r="AE60" i="3" s="1"/>
  <c r="AD60" i="3" a="1"/>
  <c r="AD60" i="3" s="1"/>
  <c r="AC60" i="3" a="1"/>
  <c r="AC60" i="3" s="1"/>
  <c r="AB60" i="3" a="1"/>
  <c r="AB60" i="3" s="1"/>
  <c r="AA60" i="3" a="1"/>
  <c r="AA60" i="3" s="1"/>
  <c r="Z60" i="3" a="1"/>
  <c r="Z60" i="3" s="1"/>
  <c r="Y60" i="3" a="1"/>
  <c r="Y60" i="3" s="1"/>
  <c r="X60" i="3" a="1"/>
  <c r="X60" i="3" s="1"/>
  <c r="W60" i="3" a="1"/>
  <c r="W60" i="3" s="1"/>
  <c r="V60" i="3" a="1"/>
  <c r="V60" i="3" s="1"/>
  <c r="U60" i="3" a="1"/>
  <c r="U60" i="3" s="1"/>
  <c r="T60" i="3" a="1"/>
  <c r="T60" i="3" s="1"/>
  <c r="S60" i="3" a="1"/>
  <c r="S60" i="3" s="1"/>
  <c r="R60" i="3" a="1"/>
  <c r="R60" i="3" s="1"/>
  <c r="Q60" i="3" a="1"/>
  <c r="Q60" i="3" s="1"/>
  <c r="P60" i="3" a="1"/>
  <c r="P60" i="3" s="1"/>
  <c r="O60" i="3" a="1"/>
  <c r="O60" i="3" s="1"/>
  <c r="N60" i="3" a="1"/>
  <c r="N60" i="3" s="1"/>
  <c r="M60" i="3" a="1"/>
  <c r="M60" i="3" s="1"/>
  <c r="L60" i="3" a="1"/>
  <c r="L60" i="3" s="1"/>
  <c r="K60" i="3" a="1"/>
  <c r="K60" i="3" s="1"/>
  <c r="J60" i="3" a="1"/>
  <c r="J60" i="3" s="1"/>
  <c r="I60" i="3" a="1"/>
  <c r="I60" i="3" s="1"/>
  <c r="H60" i="3" a="1"/>
  <c r="H60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AG59" i="3" a="1"/>
  <c r="AG59" i="3" s="1"/>
  <c r="AF59" i="3" a="1"/>
  <c r="AF59" i="3" s="1"/>
  <c r="AE59" i="3" a="1"/>
  <c r="AE59" i="3" s="1"/>
  <c r="AD59" i="3" a="1"/>
  <c r="AD59" i="3" s="1"/>
  <c r="AC59" i="3" a="1"/>
  <c r="AC59" i="3" s="1"/>
  <c r="AB59" i="3" a="1"/>
  <c r="AB59" i="3" s="1"/>
  <c r="AA59" i="3" a="1"/>
  <c r="AA59" i="3" s="1"/>
  <c r="Z59" i="3" a="1"/>
  <c r="Z59" i="3" s="1"/>
  <c r="Y59" i="3" a="1"/>
  <c r="Y59" i="3" s="1"/>
  <c r="X59" i="3" a="1"/>
  <c r="X59" i="3" s="1"/>
  <c r="W59" i="3" a="1"/>
  <c r="W59" i="3" s="1"/>
  <c r="V59" i="3" a="1"/>
  <c r="V59" i="3" s="1"/>
  <c r="U59" i="3" a="1"/>
  <c r="U59" i="3" s="1"/>
  <c r="T59" i="3" a="1"/>
  <c r="T59" i="3" s="1"/>
  <c r="S59" i="3" a="1"/>
  <c r="S59" i="3" s="1"/>
  <c r="R59" i="3" a="1"/>
  <c r="R59" i="3" s="1"/>
  <c r="Q59" i="3" a="1"/>
  <c r="Q59" i="3" s="1"/>
  <c r="P59" i="3" a="1"/>
  <c r="P59" i="3" s="1"/>
  <c r="O59" i="3" a="1"/>
  <c r="O59" i="3" s="1"/>
  <c r="N59" i="3" a="1"/>
  <c r="N59" i="3" s="1"/>
  <c r="M59" i="3" a="1"/>
  <c r="M59" i="3" s="1"/>
  <c r="L59" i="3" a="1"/>
  <c r="L59" i="3" s="1"/>
  <c r="K59" i="3" a="1"/>
  <c r="K59" i="3" s="1"/>
  <c r="J59" i="3" a="1"/>
  <c r="J59" i="3" s="1"/>
  <c r="I59" i="3" a="1"/>
  <c r="I59" i="3" s="1"/>
  <c r="H59" i="3" a="1"/>
  <c r="H59" i="3" s="1"/>
  <c r="G59" i="3" a="1"/>
  <c r="G59" i="3" s="1"/>
  <c r="F59" i="3" a="1"/>
  <c r="F59" i="3" s="1"/>
  <c r="E59" i="3" a="1"/>
  <c r="E59" i="3" s="1"/>
  <c r="D59" i="3" a="1"/>
  <c r="D59" i="3" s="1"/>
  <c r="C59" i="3" a="1"/>
  <c r="C59" i="3" s="1"/>
  <c r="AG58" i="3" a="1"/>
  <c r="AG58" i="3" s="1"/>
  <c r="AF58" i="3" a="1"/>
  <c r="AF58" i="3" s="1"/>
  <c r="AE58" i="3" a="1"/>
  <c r="AE58" i="3" s="1"/>
  <c r="AD58" i="3" a="1"/>
  <c r="AD58" i="3" s="1"/>
  <c r="AC58" i="3" a="1"/>
  <c r="AC58" i="3" s="1"/>
  <c r="AB58" i="3" a="1"/>
  <c r="AB58" i="3" s="1"/>
  <c r="AA58" i="3" a="1"/>
  <c r="AA58" i="3" s="1"/>
  <c r="Z58" i="3" a="1"/>
  <c r="Z58" i="3" s="1"/>
  <c r="Y58" i="3" a="1"/>
  <c r="Y58" i="3" s="1"/>
  <c r="X58" i="3" a="1"/>
  <c r="X58" i="3" s="1"/>
  <c r="W58" i="3" a="1"/>
  <c r="W58" i="3" s="1"/>
  <c r="V58" i="3" a="1"/>
  <c r="V58" i="3" s="1"/>
  <c r="U58" i="3" a="1"/>
  <c r="U58" i="3" s="1"/>
  <c r="T58" i="3" a="1"/>
  <c r="T58" i="3" s="1"/>
  <c r="S58" i="3" a="1"/>
  <c r="S58" i="3" s="1"/>
  <c r="R58" i="3" a="1"/>
  <c r="R58" i="3" s="1"/>
  <c r="Q58" i="3" a="1"/>
  <c r="Q58" i="3" s="1"/>
  <c r="P58" i="3" a="1"/>
  <c r="P58" i="3" s="1"/>
  <c r="O58" i="3" a="1"/>
  <c r="O58" i="3" s="1"/>
  <c r="N58" i="3" a="1"/>
  <c r="N58" i="3" s="1"/>
  <c r="M58" i="3" a="1"/>
  <c r="M58" i="3" s="1"/>
  <c r="L58" i="3" a="1"/>
  <c r="L58" i="3" s="1"/>
  <c r="K58" i="3" a="1"/>
  <c r="K58" i="3" s="1"/>
  <c r="J58" i="3" a="1"/>
  <c r="J58" i="3" s="1"/>
  <c r="I58" i="3" a="1"/>
  <c r="I58" i="3" s="1"/>
  <c r="H58" i="3" a="1"/>
  <c r="H58" i="3" s="1"/>
  <c r="G58" i="3" a="1"/>
  <c r="G58" i="3" s="1"/>
  <c r="F58" i="3" a="1"/>
  <c r="F58" i="3" s="1"/>
  <c r="E58" i="3" a="1"/>
  <c r="E58" i="3" s="1"/>
  <c r="D58" i="3" a="1"/>
  <c r="D58" i="3" s="1"/>
  <c r="C58" i="3" a="1"/>
  <c r="C58" i="3" s="1"/>
  <c r="AF53" i="3" a="1"/>
  <c r="AF53" i="3" s="1"/>
  <c r="AE53" i="3" a="1"/>
  <c r="AE53" i="3" s="1"/>
  <c r="AD53" i="3" a="1"/>
  <c r="AD53" i="3" s="1"/>
  <c r="AC53" i="3" a="1"/>
  <c r="AC53" i="3" s="1"/>
  <c r="AB53" i="3" a="1"/>
  <c r="AB53" i="3" s="1"/>
  <c r="AA53" i="3" a="1"/>
  <c r="AA53" i="3" s="1"/>
  <c r="Z53" i="3" a="1"/>
  <c r="Z53" i="3" s="1"/>
  <c r="Y53" i="3" a="1"/>
  <c r="Y53" i="3" s="1"/>
  <c r="X53" i="3" a="1"/>
  <c r="X53" i="3" s="1"/>
  <c r="W53" i="3" a="1"/>
  <c r="W53" i="3" s="1"/>
  <c r="V53" i="3" a="1"/>
  <c r="V53" i="3" s="1"/>
  <c r="U53" i="3" a="1"/>
  <c r="U53" i="3" s="1"/>
  <c r="T53" i="3" a="1"/>
  <c r="T53" i="3" s="1"/>
  <c r="S53" i="3" a="1"/>
  <c r="S53" i="3" s="1"/>
  <c r="R53" i="3" a="1"/>
  <c r="R53" i="3" s="1"/>
  <c r="Q53" i="3" a="1"/>
  <c r="Q53" i="3" s="1"/>
  <c r="P53" i="3" a="1"/>
  <c r="P53" i="3" s="1"/>
  <c r="O53" i="3" a="1"/>
  <c r="O53" i="3" s="1"/>
  <c r="N53" i="3" a="1"/>
  <c r="N53" i="3" s="1"/>
  <c r="M53" i="3" a="1"/>
  <c r="M53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C53" i="3" a="1"/>
  <c r="C53" i="3" s="1"/>
  <c r="AF52" i="3" a="1"/>
  <c r="AF52" i="3" s="1"/>
  <c r="AE52" i="3" a="1"/>
  <c r="AE52" i="3" s="1"/>
  <c r="AD52" i="3" a="1"/>
  <c r="AD52" i="3" s="1"/>
  <c r="AC52" i="3" a="1"/>
  <c r="AC52" i="3" s="1"/>
  <c r="AB52" i="3" a="1"/>
  <c r="AB52" i="3" s="1"/>
  <c r="AA52" i="3" a="1"/>
  <c r="AA52" i="3" s="1"/>
  <c r="Z52" i="3" a="1"/>
  <c r="Z52" i="3" s="1"/>
  <c r="Y52" i="3" a="1"/>
  <c r="Y52" i="3" s="1"/>
  <c r="X52" i="3" a="1"/>
  <c r="X52" i="3" s="1"/>
  <c r="W52" i="3" a="1"/>
  <c r="W52" i="3" s="1"/>
  <c r="V52" i="3" a="1"/>
  <c r="V52" i="3" s="1"/>
  <c r="U52" i="3" a="1"/>
  <c r="U52" i="3" s="1"/>
  <c r="T52" i="3" a="1"/>
  <c r="T52" i="3" s="1"/>
  <c r="S52" i="3" a="1"/>
  <c r="S52" i="3" s="1"/>
  <c r="R52" i="3" a="1"/>
  <c r="R52" i="3" s="1"/>
  <c r="Q52" i="3" a="1"/>
  <c r="Q52" i="3" s="1"/>
  <c r="P52" i="3" a="1"/>
  <c r="P52" i="3" s="1"/>
  <c r="O52" i="3" a="1"/>
  <c r="O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C52" i="3" a="1"/>
  <c r="C52" i="3" s="1"/>
  <c r="AF51" i="3" a="1"/>
  <c r="AF51" i="3" s="1"/>
  <c r="AE51" i="3" a="1"/>
  <c r="AE51" i="3" s="1"/>
  <c r="AD51" i="3" a="1"/>
  <c r="AD51" i="3" s="1"/>
  <c r="AC51" i="3" a="1"/>
  <c r="AC51" i="3" s="1"/>
  <c r="AB51" i="3" a="1"/>
  <c r="AB51" i="3" s="1"/>
  <c r="AA51" i="3" a="1"/>
  <c r="AA51" i="3" s="1"/>
  <c r="Z51" i="3" a="1"/>
  <c r="Z51" i="3" s="1"/>
  <c r="Y51" i="3" a="1"/>
  <c r="Y51" i="3" s="1"/>
  <c r="X51" i="3" a="1"/>
  <c r="X51" i="3" s="1"/>
  <c r="W51" i="3" a="1"/>
  <c r="W51" i="3" s="1"/>
  <c r="V51" i="3" a="1"/>
  <c r="V51" i="3" s="1"/>
  <c r="U51" i="3" a="1"/>
  <c r="U51" i="3" s="1"/>
  <c r="T51" i="3" a="1"/>
  <c r="T51" i="3" s="1"/>
  <c r="S51" i="3" a="1"/>
  <c r="S51" i="3" s="1"/>
  <c r="R51" i="3" a="1"/>
  <c r="R51" i="3" s="1"/>
  <c r="Q51" i="3" a="1"/>
  <c r="Q51" i="3" s="1"/>
  <c r="P51" i="3" a="1"/>
  <c r="P51" i="3" s="1"/>
  <c r="O51" i="3" a="1"/>
  <c r="O51" i="3" s="1"/>
  <c r="N51" i="3" a="1"/>
  <c r="N51" i="3" s="1"/>
  <c r="M51" i="3" a="1"/>
  <c r="M51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AF50" i="3" a="1"/>
  <c r="AF50" i="3" s="1"/>
  <c r="AE50" i="3" a="1"/>
  <c r="AE50" i="3" s="1"/>
  <c r="AD50" i="3" a="1"/>
  <c r="AD50" i="3" s="1"/>
  <c r="AC50" i="3" a="1"/>
  <c r="AC50" i="3" s="1"/>
  <c r="AB50" i="3" a="1"/>
  <c r="AB50" i="3" s="1"/>
  <c r="AA50" i="3" a="1"/>
  <c r="AA50" i="3" s="1"/>
  <c r="Z50" i="3" a="1"/>
  <c r="Z50" i="3" s="1"/>
  <c r="Y50" i="3" a="1"/>
  <c r="Y50" i="3" s="1"/>
  <c r="X50" i="3" a="1"/>
  <c r="X50" i="3" s="1"/>
  <c r="W50" i="3" a="1"/>
  <c r="W50" i="3" s="1"/>
  <c r="V50" i="3" a="1"/>
  <c r="V50" i="3" s="1"/>
  <c r="U50" i="3" a="1"/>
  <c r="U50" i="3" s="1"/>
  <c r="T50" i="3" a="1"/>
  <c r="T50" i="3" s="1"/>
  <c r="S50" i="3" a="1"/>
  <c r="S50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AF49" i="3" a="1"/>
  <c r="AF49" i="3" s="1"/>
  <c r="AE49" i="3" a="1"/>
  <c r="AE49" i="3" s="1"/>
  <c r="AD49" i="3" a="1"/>
  <c r="AD49" i="3" s="1"/>
  <c r="AC49" i="3" a="1"/>
  <c r="AC49" i="3" s="1"/>
  <c r="AB49" i="3" a="1"/>
  <c r="AB49" i="3" s="1"/>
  <c r="AA49" i="3" a="1"/>
  <c r="AA49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AF48" i="3" a="1"/>
  <c r="AF48" i="3" s="1"/>
  <c r="AE48" i="3" a="1"/>
  <c r="AE48" i="3" s="1"/>
  <c r="AD48" i="3" a="1"/>
  <c r="AD48" i="3" s="1"/>
  <c r="AC48" i="3" a="1"/>
  <c r="AC48" i="3" s="1"/>
  <c r="AB48" i="3" a="1"/>
  <c r="AB48" i="3" s="1"/>
  <c r="AA48" i="3" a="1"/>
  <c r="AA48" i="3" s="1"/>
  <c r="Z48" i="3" a="1"/>
  <c r="Z48" i="3" s="1"/>
  <c r="Y48" i="3" a="1"/>
  <c r="Y48" i="3" s="1"/>
  <c r="X48" i="3" a="1"/>
  <c r="X48" i="3" s="1"/>
  <c r="W48" i="3" a="1"/>
  <c r="W48" i="3" s="1"/>
  <c r="V48" i="3" a="1"/>
  <c r="V48" i="3" s="1"/>
  <c r="U48" i="3" a="1"/>
  <c r="U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AF47" i="3" a="1"/>
  <c r="AF47" i="3" s="1"/>
  <c r="AE47" i="3" a="1"/>
  <c r="AE47" i="3" s="1"/>
  <c r="AD47" i="3" a="1"/>
  <c r="AD47" i="3" s="1"/>
  <c r="AC47" i="3" a="1"/>
  <c r="AC47" i="3" s="1"/>
  <c r="AB47" i="3" a="1"/>
  <c r="AB47" i="3" s="1"/>
  <c r="AA47" i="3" a="1"/>
  <c r="AA47" i="3" s="1"/>
  <c r="Z47" i="3" a="1"/>
  <c r="Z47" i="3" s="1"/>
  <c r="Y47" i="3" a="1"/>
  <c r="Y47" i="3" s="1"/>
  <c r="X47" i="3" a="1"/>
  <c r="X47" i="3" s="1"/>
  <c r="W47" i="3" a="1"/>
  <c r="W47" i="3" s="1"/>
  <c r="V47" i="3" a="1"/>
  <c r="V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AG41" i="3" a="1"/>
  <c r="AG41" i="3" s="1"/>
  <c r="AF41" i="3" a="1"/>
  <c r="AF41" i="3" s="1"/>
  <c r="AE41" i="3" a="1"/>
  <c r="AE41" i="3" s="1"/>
  <c r="AD41" i="3" a="1"/>
  <c r="AD41" i="3" s="1"/>
  <c r="AC41" i="3" a="1"/>
  <c r="AC41" i="3" s="1"/>
  <c r="AB41" i="3" a="1"/>
  <c r="AB41" i="3" s="1"/>
  <c r="AA41" i="3" a="1"/>
  <c r="AA41" i="3" s="1"/>
  <c r="Z41" i="3" a="1"/>
  <c r="Z41" i="3" s="1"/>
  <c r="Y41" i="3" a="1"/>
  <c r="Y41" i="3" s="1"/>
  <c r="X41" i="3" a="1"/>
  <c r="X41" i="3" s="1"/>
  <c r="W41" i="3" a="1"/>
  <c r="W41" i="3" s="1"/>
  <c r="V41" i="3" a="1"/>
  <c r="V41" i="3" s="1"/>
  <c r="U41" i="3" a="1"/>
  <c r="U41" i="3" s="1"/>
  <c r="T41" i="3" a="1"/>
  <c r="T41" i="3" s="1"/>
  <c r="S41" i="3" a="1"/>
  <c r="S41" i="3" s="1"/>
  <c r="R41" i="3" a="1"/>
  <c r="R41" i="3" s="1"/>
  <c r="Q41" i="3" a="1"/>
  <c r="Q41" i="3" s="1"/>
  <c r="P41" i="3" a="1"/>
  <c r="P41" i="3" s="1"/>
  <c r="O41" i="3" a="1"/>
  <c r="O41" i="3" s="1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AG40" i="3" a="1"/>
  <c r="AG40" i="3" s="1"/>
  <c r="AF40" i="3" a="1"/>
  <c r="AF40" i="3" s="1"/>
  <c r="AE40" i="3" a="1"/>
  <c r="AE40" i="3" s="1"/>
  <c r="AD40" i="3" a="1"/>
  <c r="AD40" i="3" s="1"/>
  <c r="AC40" i="3" a="1"/>
  <c r="AC40" i="3" s="1"/>
  <c r="AB40" i="3" a="1"/>
  <c r="AB40" i="3" s="1"/>
  <c r="AA40" i="3" a="1"/>
  <c r="AA40" i="3" s="1"/>
  <c r="Z40" i="3" a="1"/>
  <c r="Z40" i="3" s="1"/>
  <c r="Y40" i="3" a="1"/>
  <c r="Y40" i="3" s="1"/>
  <c r="X40" i="3" a="1"/>
  <c r="X40" i="3" s="1"/>
  <c r="W40" i="3" a="1"/>
  <c r="W40" i="3" s="1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AG39" i="3" a="1"/>
  <c r="AG39" i="3" s="1"/>
  <c r="AF39" i="3" a="1"/>
  <c r="AF39" i="3" s="1"/>
  <c r="AE39" i="3" a="1"/>
  <c r="AE39" i="3" s="1"/>
  <c r="AD39" i="3" a="1"/>
  <c r="AD39" i="3" s="1"/>
  <c r="AC39" i="3" a="1"/>
  <c r="AC39" i="3" s="1"/>
  <c r="AB39" i="3" a="1"/>
  <c r="AB39" i="3" s="1"/>
  <c r="AA39" i="3" a="1"/>
  <c r="AA39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AG38" i="3" a="1"/>
  <c r="AG38" i="3" s="1"/>
  <c r="AF38" i="3" a="1"/>
  <c r="AF38" i="3" s="1"/>
  <c r="AE38" i="3" a="1"/>
  <c r="AE38" i="3" s="1"/>
  <c r="AD38" i="3" a="1"/>
  <c r="AD38" i="3" s="1"/>
  <c r="AC38" i="3" a="1"/>
  <c r="AC38" i="3" s="1"/>
  <c r="AB38" i="3" a="1"/>
  <c r="AB38" i="3" s="1"/>
  <c r="AA38" i="3" a="1"/>
  <c r="AA38" i="3" s="1"/>
  <c r="Z38" i="3" a="1"/>
  <c r="Z38" i="3" s="1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AG37" i="3" a="1"/>
  <c r="AG37" i="3" s="1"/>
  <c r="AF37" i="3" a="1"/>
  <c r="AF37" i="3" s="1"/>
  <c r="AE37" i="3" a="1"/>
  <c r="AE37" i="3" s="1"/>
  <c r="AD37" i="3" a="1"/>
  <c r="AD37" i="3" s="1"/>
  <c r="AC37" i="3" a="1"/>
  <c r="AC37" i="3" s="1"/>
  <c r="AB37" i="3" a="1"/>
  <c r="AB37" i="3" s="1"/>
  <c r="AA37" i="3" a="1"/>
  <c r="AA37" i="3" s="1"/>
  <c r="Z37" i="3" a="1"/>
  <c r="Z37" i="3" s="1"/>
  <c r="Y37" i="3" a="1"/>
  <c r="Y37" i="3" s="1"/>
  <c r="X37" i="3" a="1"/>
  <c r="X37" i="3" s="1"/>
  <c r="W37" i="3" a="1"/>
  <c r="W37" i="3" s="1"/>
  <c r="V37" i="3" a="1"/>
  <c r="V37" i="3" s="1"/>
  <c r="U37" i="3" a="1"/>
  <c r="U37" i="3" s="1"/>
  <c r="T37" i="3" a="1"/>
  <c r="T37" i="3" s="1"/>
  <c r="S37" i="3" a="1"/>
  <c r="S37" i="3" s="1"/>
  <c r="R37" i="3" a="1"/>
  <c r="R37" i="3" s="1"/>
  <c r="Q37" i="3" a="1"/>
  <c r="Q37" i="3" s="1"/>
  <c r="P37" i="3" a="1"/>
  <c r="P37" i="3" s="1"/>
  <c r="O37" i="3" a="1"/>
  <c r="O37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I37" i="3" a="1"/>
  <c r="I37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AG36" i="3" a="1"/>
  <c r="AG36" i="3" s="1"/>
  <c r="AF36" i="3" a="1"/>
  <c r="AF36" i="3" s="1"/>
  <c r="AE36" i="3" a="1"/>
  <c r="AE36" i="3" s="1"/>
  <c r="AD36" i="3" a="1"/>
  <c r="AD36" i="3" s="1"/>
  <c r="AC36" i="3" a="1"/>
  <c r="AC36" i="3" s="1"/>
  <c r="AB36" i="3" a="1"/>
  <c r="AB36" i="3" s="1"/>
  <c r="AA36" i="3" a="1"/>
  <c r="AA36" i="3" s="1"/>
  <c r="Z36" i="3" a="1"/>
  <c r="Z36" i="3" s="1"/>
  <c r="Y36" i="3" a="1"/>
  <c r="Y36" i="3" s="1"/>
  <c r="X36" i="3" a="1"/>
  <c r="X36" i="3" s="1"/>
  <c r="W36" i="3" a="1"/>
  <c r="W36" i="3" s="1"/>
  <c r="V36" i="3" a="1"/>
  <c r="V36" i="3" s="1"/>
  <c r="U36" i="3" a="1"/>
  <c r="U36" i="3" s="1"/>
  <c r="T36" i="3" a="1"/>
  <c r="T36" i="3" s="1"/>
  <c r="S36" i="3" a="1"/>
  <c r="S36" i="3" s="1"/>
  <c r="R36" i="3" a="1"/>
  <c r="R36" i="3" s="1"/>
  <c r="Q36" i="3" a="1"/>
  <c r="Q36" i="3" s="1"/>
  <c r="P36" i="3" a="1"/>
  <c r="P36" i="3" s="1"/>
  <c r="O36" i="3" a="1"/>
  <c r="O36" i="3" s="1"/>
  <c r="N36" i="3" a="1"/>
  <c r="N36" i="3" s="1"/>
  <c r="M36" i="3" a="1"/>
  <c r="M36" i="3" s="1"/>
  <c r="L36" i="3" a="1"/>
  <c r="L36" i="3" s="1"/>
  <c r="K36" i="3" a="1"/>
  <c r="K36" i="3" s="1"/>
  <c r="J36" i="3" a="1"/>
  <c r="J36" i="3" s="1"/>
  <c r="I36" i="3" a="1"/>
  <c r="I36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AG35" i="3" a="1"/>
  <c r="AG35" i="3" s="1"/>
  <c r="AF35" i="3" a="1"/>
  <c r="AF35" i="3" s="1"/>
  <c r="AE35" i="3" a="1"/>
  <c r="AE35" i="3" s="1"/>
  <c r="AD35" i="3" a="1"/>
  <c r="AD35" i="3" s="1"/>
  <c r="AC35" i="3" a="1"/>
  <c r="AC35" i="3" s="1"/>
  <c r="AB35" i="3" a="1"/>
  <c r="AB35" i="3" s="1"/>
  <c r="AA35" i="3" a="1"/>
  <c r="AA35" i="3" s="1"/>
  <c r="Z35" i="3" a="1"/>
  <c r="Z35" i="3" s="1"/>
  <c r="Y35" i="3" a="1"/>
  <c r="Y35" i="3" s="1"/>
  <c r="X35" i="3" a="1"/>
  <c r="X35" i="3" s="1"/>
  <c r="W35" i="3" a="1"/>
  <c r="W35" i="3" s="1"/>
  <c r="V35" i="3" a="1"/>
  <c r="V35" i="3" s="1"/>
  <c r="U35" i="3" a="1"/>
  <c r="U35" i="3" s="1"/>
  <c r="T35" i="3" a="1"/>
  <c r="T35" i="3" s="1"/>
  <c r="S35" i="3" a="1"/>
  <c r="S35" i="3" s="1"/>
  <c r="R35" i="3" a="1"/>
  <c r="R35" i="3" s="1"/>
  <c r="Q35" i="3" a="1"/>
  <c r="Q35" i="3" s="1"/>
  <c r="P35" i="3" a="1"/>
  <c r="P35" i="3" s="1"/>
  <c r="O35" i="3" a="1"/>
  <c r="O35" i="3" s="1"/>
  <c r="N35" i="3" a="1"/>
  <c r="N35" i="3" s="1"/>
  <c r="M35" i="3" a="1"/>
  <c r="M35" i="3" s="1"/>
  <c r="L35" i="3" a="1"/>
  <c r="L35" i="3" s="1"/>
  <c r="K35" i="3" a="1"/>
  <c r="K35" i="3" s="1"/>
  <c r="J35" i="3" a="1"/>
  <c r="J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AD30" i="3" a="1"/>
  <c r="AD30" i="3" s="1"/>
  <c r="AC30" i="3" a="1"/>
  <c r="AC30" i="3" s="1"/>
  <c r="AB30" i="3" a="1"/>
  <c r="AB30" i="3" s="1"/>
  <c r="AA30" i="3" a="1"/>
  <c r="AA30" i="3" s="1"/>
  <c r="Z30" i="3" a="1"/>
  <c r="Z30" i="3" s="1"/>
  <c r="Y30" i="3" a="1"/>
  <c r="Y30" i="3" s="1"/>
  <c r="X30" i="3" a="1"/>
  <c r="X30" i="3" s="1"/>
  <c r="W30" i="3" a="1"/>
  <c r="W30" i="3" s="1"/>
  <c r="V30" i="3" a="1"/>
  <c r="V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P30" i="3" a="1"/>
  <c r="P30" i="3" s="1"/>
  <c r="O30" i="3" a="1"/>
  <c r="O30" i="3" s="1"/>
  <c r="N30" i="3" a="1"/>
  <c r="N30" i="3" s="1"/>
  <c r="M30" i="3" a="1"/>
  <c r="M30" i="3" s="1"/>
  <c r="L30" i="3" a="1"/>
  <c r="L30" i="3" s="1"/>
  <c r="K30" i="3" a="1"/>
  <c r="K30" i="3" s="1"/>
  <c r="J30" i="3" a="1"/>
  <c r="J30" i="3" s="1"/>
  <c r="I30" i="3" a="1"/>
  <c r="I30" i="3" s="1"/>
  <c r="H30" i="3" a="1"/>
  <c r="H30" i="3" s="1"/>
  <c r="G30" i="3" a="1"/>
  <c r="G30" i="3" s="1"/>
  <c r="F30" i="3" a="1"/>
  <c r="F30" i="3" s="1"/>
  <c r="E30" i="3" a="1"/>
  <c r="E30" i="3" s="1"/>
  <c r="D30" i="3" a="1"/>
  <c r="D30" i="3" s="1"/>
  <c r="C30" i="3" a="1"/>
  <c r="C30" i="3" s="1"/>
  <c r="AD29" i="3" a="1"/>
  <c r="AD29" i="3" s="1"/>
  <c r="AC29" i="3" a="1"/>
  <c r="AC29" i="3" s="1"/>
  <c r="AB29" i="3" a="1"/>
  <c r="AB29" i="3" s="1"/>
  <c r="AA29" i="3" a="1"/>
  <c r="AA29" i="3" s="1"/>
  <c r="Z29" i="3" a="1"/>
  <c r="Z29" i="3" s="1"/>
  <c r="Y29" i="3" a="1"/>
  <c r="Y29" i="3" s="1"/>
  <c r="X29" i="3" a="1"/>
  <c r="X29" i="3" s="1"/>
  <c r="W29" i="3" a="1"/>
  <c r="W29" i="3" s="1"/>
  <c r="V29" i="3" a="1"/>
  <c r="V29" i="3" s="1"/>
  <c r="U29" i="3" a="1"/>
  <c r="U29" i="3" s="1"/>
  <c r="T29" i="3" a="1"/>
  <c r="T29" i="3" s="1"/>
  <c r="S29" i="3" a="1"/>
  <c r="S29" i="3" s="1"/>
  <c r="R29" i="3" a="1"/>
  <c r="R29" i="3" s="1"/>
  <c r="Q29" i="3" a="1"/>
  <c r="Q29" i="3" s="1"/>
  <c r="P29" i="3" a="1"/>
  <c r="P29" i="3" s="1"/>
  <c r="O29" i="3" a="1"/>
  <c r="O29" i="3" s="1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I29" i="3" a="1"/>
  <c r="I29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AD28" i="3" a="1"/>
  <c r="AD28" i="3" s="1"/>
  <c r="AC28" i="3" a="1"/>
  <c r="AC28" i="3" s="1"/>
  <c r="AB28" i="3" a="1"/>
  <c r="AB28" i="3" s="1"/>
  <c r="AA28" i="3" a="1"/>
  <c r="AA28" i="3" s="1"/>
  <c r="Z28" i="3" a="1"/>
  <c r="Z28" i="3" s="1"/>
  <c r="Y28" i="3" a="1"/>
  <c r="Y28" i="3" s="1"/>
  <c r="X28" i="3" a="1"/>
  <c r="X28" i="3" s="1"/>
  <c r="W28" i="3" a="1"/>
  <c r="W28" i="3" s="1"/>
  <c r="V28" i="3" a="1"/>
  <c r="V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C28" i="3" a="1"/>
  <c r="C28" i="3" s="1"/>
  <c r="AD27" i="3" a="1"/>
  <c r="AD27" i="3" s="1"/>
  <c r="AC27" i="3" a="1"/>
  <c r="AC27" i="3" s="1"/>
  <c r="AB27" i="3" a="1"/>
  <c r="AB27" i="3" s="1"/>
  <c r="AA27" i="3" a="1"/>
  <c r="AA27" i="3" s="1"/>
  <c r="Z27" i="3" a="1"/>
  <c r="Z27" i="3" s="1"/>
  <c r="Y27" i="3" a="1"/>
  <c r="Y27" i="3" s="1"/>
  <c r="X27" i="3" a="1"/>
  <c r="X27" i="3" s="1"/>
  <c r="W27" i="3" a="1"/>
  <c r="W27" i="3" s="1"/>
  <c r="V27" i="3" a="1"/>
  <c r="V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AD26" i="3" a="1"/>
  <c r="AD26" i="3" s="1"/>
  <c r="AC26" i="3" a="1"/>
  <c r="AC26" i="3" s="1"/>
  <c r="AB26" i="3" a="1"/>
  <c r="AB26" i="3" s="1"/>
  <c r="AA26" i="3" a="1"/>
  <c r="AA26" i="3" s="1"/>
  <c r="Z26" i="3" a="1"/>
  <c r="Z26" i="3" s="1"/>
  <c r="Y26" i="3" a="1"/>
  <c r="Y26" i="3" s="1"/>
  <c r="X26" i="3" a="1"/>
  <c r="X26" i="3" s="1"/>
  <c r="W26" i="3" a="1"/>
  <c r="W26" i="3" s="1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AD25" i="3" a="1"/>
  <c r="AD25" i="3" s="1"/>
  <c r="AC25" i="3" a="1"/>
  <c r="AC25" i="3" s="1"/>
  <c r="AB25" i="3" a="1"/>
  <c r="AB25" i="3" s="1"/>
  <c r="AA25" i="3" a="1"/>
  <c r="AA25" i="3" s="1"/>
  <c r="Z25" i="3" a="1"/>
  <c r="Z25" i="3" s="1"/>
  <c r="Y25" i="3" a="1"/>
  <c r="Y25" i="3" s="1"/>
  <c r="X25" i="3" a="1"/>
  <c r="X25" i="3" s="1"/>
  <c r="W25" i="3" a="1"/>
  <c r="W25" i="3" s="1"/>
  <c r="V25" i="3" a="1"/>
  <c r="V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AD24" i="3" a="1"/>
  <c r="AD24" i="3" s="1"/>
  <c r="AC24" i="3" a="1"/>
  <c r="AC24" i="3" s="1"/>
  <c r="AB24" i="3" a="1"/>
  <c r="AB24" i="3" s="1"/>
  <c r="AA24" i="3" a="1"/>
  <c r="AA24" i="3" s="1"/>
  <c r="Z24" i="3" a="1"/>
  <c r="Z24" i="3" s="1"/>
  <c r="Y24" i="3" a="1"/>
  <c r="Y24" i="3" s="1"/>
  <c r="X24" i="3" a="1"/>
  <c r="X24" i="3" s="1"/>
  <c r="W24" i="3" a="1"/>
  <c r="W24" i="3" s="1"/>
  <c r="V24" i="3" a="1"/>
  <c r="V24" i="3" s="1"/>
  <c r="U24" i="3" a="1"/>
  <c r="U24" i="3" s="1"/>
  <c r="T24" i="3" a="1"/>
  <c r="T24" i="3" s="1"/>
  <c r="S24" i="3" a="1"/>
  <c r="S24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C13" i="3" a="1"/>
  <c r="C13" i="3" s="1"/>
  <c r="F5" i="4" l="1"/>
  <c r="AL72" i="3"/>
  <c r="AL60" i="3"/>
  <c r="AL108" i="3"/>
  <c r="AL120" i="3"/>
  <c r="AL84" i="3"/>
  <c r="AL37" i="3"/>
  <c r="AL96" i="3"/>
  <c r="AL27" i="3"/>
  <c r="G14" i="4"/>
  <c r="AJ145" i="3" l="1"/>
  <c r="AJ144" i="3"/>
  <c r="AJ143" i="3"/>
  <c r="AJ147" i="3"/>
  <c r="AJ142" i="3"/>
  <c r="AJ146" i="3"/>
  <c r="AL144" i="3"/>
  <c r="F14" i="4"/>
  <c r="AJ141" i="3"/>
  <c r="E14" i="4"/>
  <c r="E13" i="4"/>
  <c r="G12" i="4"/>
  <c r="E3" i="4"/>
  <c r="G11" i="4"/>
  <c r="E10" i="4"/>
  <c r="E9" i="4"/>
  <c r="E8" i="4"/>
  <c r="E7" i="4"/>
  <c r="E6" i="4"/>
  <c r="C15" i="4"/>
  <c r="AG105" i="3" a="1"/>
  <c r="AG105" i="3" s="1"/>
  <c r="AG107" i="3" a="1"/>
  <c r="AG107" i="3" s="1"/>
  <c r="AG108" i="3" a="1"/>
  <c r="AG108" i="3" s="1"/>
  <c r="AG109" i="3" a="1"/>
  <c r="AG109" i="3" s="1"/>
  <c r="AG110" i="3" a="1"/>
  <c r="AG110" i="3" s="1"/>
  <c r="AG111" i="3" a="1"/>
  <c r="AG111" i="3" s="1"/>
  <c r="AE149" i="3" a="1"/>
  <c r="AE149" i="3" s="1"/>
  <c r="AF149" i="3" a="1"/>
  <c r="AF149" i="3" s="1"/>
  <c r="AH43" i="3" a="1"/>
  <c r="AH43" i="3" s="1"/>
  <c r="AH44" i="3" a="1"/>
  <c r="AH44" i="3" s="1"/>
  <c r="AH45" i="3" a="1"/>
  <c r="AH45" i="3" s="1"/>
  <c r="AJ19" i="3" l="1"/>
  <c r="AJ18" i="3"/>
  <c r="AJ58" i="3"/>
  <c r="AJ26" i="3"/>
  <c r="AJ29" i="3"/>
  <c r="AJ62" i="3"/>
  <c r="AJ25" i="3"/>
  <c r="AJ28" i="3"/>
  <c r="AJ53" i="3"/>
  <c r="AJ52" i="3"/>
  <c r="AJ51" i="3"/>
  <c r="AJ50" i="3"/>
  <c r="AJ49" i="3"/>
  <c r="AJ48" i="3"/>
  <c r="AJ64" i="3"/>
  <c r="AJ61" i="3"/>
  <c r="AJ60" i="3"/>
  <c r="AJ96" i="3"/>
  <c r="AJ133" i="3"/>
  <c r="AJ132" i="3"/>
  <c r="AJ131" i="3"/>
  <c r="AJ47" i="3"/>
  <c r="AJ63" i="3"/>
  <c r="AJ59" i="3"/>
  <c r="AJ94" i="3"/>
  <c r="AJ95" i="3"/>
  <c r="AJ111" i="3"/>
  <c r="AJ110" i="3"/>
  <c r="AJ109" i="3"/>
  <c r="AJ108" i="3"/>
  <c r="AJ107" i="3"/>
  <c r="AJ106" i="3"/>
  <c r="AJ135" i="3"/>
  <c r="AJ134" i="3"/>
  <c r="AJ130" i="3"/>
  <c r="AJ27" i="3"/>
  <c r="AJ30" i="3"/>
  <c r="AJ35" i="3"/>
  <c r="F8" i="4"/>
  <c r="F9" i="4"/>
  <c r="AJ82" i="3"/>
  <c r="F11" i="4"/>
  <c r="AJ105" i="3"/>
  <c r="F12" i="4"/>
  <c r="F13" i="4"/>
  <c r="AJ129" i="3"/>
  <c r="G5" i="4"/>
  <c r="D15" i="4"/>
  <c r="E15" i="4" s="1"/>
  <c r="F4" i="4"/>
  <c r="AJ24" i="3"/>
  <c r="F3" i="4"/>
  <c r="AJ14" i="3"/>
  <c r="AJ17" i="3"/>
  <c r="AJ76" i="3"/>
  <c r="AJ75" i="3"/>
  <c r="AJ74" i="3"/>
  <c r="AJ73" i="3"/>
  <c r="AJ72" i="3"/>
  <c r="AJ71" i="3"/>
  <c r="AJ70" i="3"/>
  <c r="AJ16" i="3"/>
  <c r="AJ39" i="3"/>
  <c r="AJ88" i="3"/>
  <c r="AJ85" i="3"/>
  <c r="AJ100" i="3"/>
  <c r="AJ97" i="3"/>
  <c r="AJ117" i="3"/>
  <c r="AJ121" i="3"/>
  <c r="AJ120" i="3"/>
  <c r="AJ13" i="3"/>
  <c r="AJ41" i="3"/>
  <c r="AJ87" i="3"/>
  <c r="AJ84" i="3"/>
  <c r="AJ83" i="3"/>
  <c r="AJ99" i="3"/>
  <c r="AJ123" i="3"/>
  <c r="AJ119" i="3"/>
  <c r="AJ38" i="3"/>
  <c r="AJ40" i="3"/>
  <c r="AJ37" i="3"/>
  <c r="AJ36" i="3"/>
  <c r="AJ86" i="3"/>
  <c r="AJ98" i="3"/>
  <c r="AJ122" i="3"/>
  <c r="AJ118" i="3"/>
  <c r="AJ15" i="3"/>
  <c r="E4" i="4"/>
  <c r="D4" i="6"/>
  <c r="E4" i="6" s="1"/>
  <c r="F7" i="4"/>
  <c r="E12" i="4"/>
  <c r="G7" i="4"/>
  <c r="G8" i="4"/>
  <c r="G9" i="4"/>
  <c r="G10" i="4"/>
  <c r="G13" i="4"/>
  <c r="G4" i="4"/>
  <c r="G6" i="4"/>
  <c r="E11" i="4"/>
  <c r="D7" i="6"/>
  <c r="E7" i="6" s="1"/>
  <c r="D6" i="6"/>
  <c r="E6" i="6" s="1"/>
  <c r="D5" i="6"/>
  <c r="E5" i="6" s="1"/>
  <c r="D10" i="6"/>
  <c r="E10" i="6" s="1"/>
  <c r="D9" i="6"/>
  <c r="E9" i="6" s="1"/>
  <c r="D8" i="6"/>
  <c r="E8" i="6" s="1"/>
  <c r="AF43" i="3" a="1"/>
  <c r="AF43" i="3" s="1"/>
  <c r="AG66" i="3" a="1"/>
  <c r="AG66" i="3" s="1"/>
  <c r="AG90" i="3" a="1"/>
  <c r="AG90" i="3" s="1"/>
  <c r="AG113" i="3" a="1"/>
  <c r="AG113" i="3" s="1"/>
  <c r="AG137" i="3" a="1"/>
  <c r="AG137" i="3" s="1"/>
  <c r="AG43" i="3" a="1"/>
  <c r="AG43" i="3" s="1"/>
  <c r="AE66" i="3" a="1"/>
  <c r="AE66" i="3" s="1"/>
  <c r="AE90" i="3" a="1"/>
  <c r="AE90" i="3" s="1"/>
  <c r="AE113" i="3" a="1"/>
  <c r="AE113" i="3" s="1"/>
  <c r="AE137" i="3" a="1"/>
  <c r="AE137" i="3" s="1"/>
  <c r="AE43" i="3" a="1"/>
  <c r="AE43" i="3" s="1"/>
  <c r="AF66" i="3" a="1"/>
  <c r="AF66" i="3" s="1"/>
  <c r="AF90" i="3" a="1"/>
  <c r="AF90" i="3" s="1"/>
  <c r="AF113" i="3" a="1"/>
  <c r="AF113" i="3" s="1"/>
  <c r="AF137" i="3" a="1"/>
  <c r="AF137" i="3" s="1"/>
  <c r="F6" i="4" l="1"/>
  <c r="F10" i="4"/>
  <c r="G15" i="4"/>
  <c r="F1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<sst xmlns="http://schemas.openxmlformats.org/spreadsheetml/2006/main" count="1636" uniqueCount="545">
  <si>
    <t>Ultima actualización</t>
  </si>
  <si>
    <t>Salones</t>
  </si>
  <si>
    <t>Desde</t>
  </si>
  <si>
    <t>Hasta</t>
  </si>
  <si>
    <t>Estado</t>
  </si>
  <si>
    <t>Organizacion</t>
  </si>
  <si>
    <t>Descripción</t>
  </si>
  <si>
    <t>Room Rental</t>
  </si>
  <si>
    <t>N° de Asistentes</t>
  </si>
  <si>
    <t>LAS SIERRAS</t>
  </si>
  <si>
    <t>Garantizado</t>
  </si>
  <si>
    <t>Pretemporada</t>
  </si>
  <si>
    <t>Club Atlético Belgrano</t>
  </si>
  <si>
    <t>La Pampa ,LAS SIERRAS</t>
  </si>
  <si>
    <t/>
  </si>
  <si>
    <t xml:space="preserve">Quinto Centenario Hotel </t>
  </si>
  <si>
    <t xml:space="preserve">SALA A </t>
  </si>
  <si>
    <t xml:space="preserve"> INTENSITY SHOES S.R.L.</t>
  </si>
  <si>
    <t>LUGONES A ,LUGONES B ,LUGONES C</t>
  </si>
  <si>
    <t xml:space="preserve">MEETING DE LA EMPRESA </t>
  </si>
  <si>
    <t>Royal Prestige</t>
  </si>
  <si>
    <t>YACANTO A y B ,YACANTO C</t>
  </si>
  <si>
    <t>URITORCO A ,URITORCO B</t>
  </si>
  <si>
    <t>Quinceañeras</t>
  </si>
  <si>
    <t>MAGIC DREAMS S.R.L</t>
  </si>
  <si>
    <t>Piscina</t>
  </si>
  <si>
    <t>SUNSET FASHION &amp; ART</t>
  </si>
  <si>
    <t>Nestor Moio</t>
  </si>
  <si>
    <t>Joint Group SA</t>
  </si>
  <si>
    <t>Puerta 7 SA</t>
  </si>
  <si>
    <t>CHAMPAQUI A</t>
  </si>
  <si>
    <t>BELGRANO- Conferencia presentación refuerzos</t>
  </si>
  <si>
    <t>Piscina ,LOBBY BAR</t>
  </si>
  <si>
    <t>Sunset Fashion &amp; Art</t>
  </si>
  <si>
    <t xml:space="preserve">Conferencia de prensa del Club Atlético Belgrano </t>
  </si>
  <si>
    <t>Belgrano Vs Tigre</t>
  </si>
  <si>
    <t>Taller de creación de perfumes PLANEANDO</t>
  </si>
  <si>
    <t>Planeando</t>
  </si>
  <si>
    <t>SALA D</t>
  </si>
  <si>
    <t>Reunión _x000D_
Solicitada por MS</t>
  </si>
  <si>
    <t>Franco Emora</t>
  </si>
  <si>
    <t>La Pampa</t>
  </si>
  <si>
    <t>Presupuesto</t>
  </si>
  <si>
    <t xml:space="preserve">Festejo de cumpleaños asociados Diciembre 2025 </t>
  </si>
  <si>
    <t>SALA B</t>
  </si>
  <si>
    <t>Tentativo</t>
  </si>
  <si>
    <t>Entrevistas</t>
  </si>
  <si>
    <t>CAMARA DE COMERCIO DE LOS ESTADOS UNIDOS DE AMERIC</t>
  </si>
  <si>
    <t>Belgrano vs Banfield</t>
  </si>
  <si>
    <t>Festejo de cumpleaños asociados Enero 2026_x000D_
MERIENDA</t>
  </si>
  <si>
    <t>Cena</t>
  </si>
  <si>
    <t xml:space="preserve">Cámara de Industriales Metalúrgicos y Componentes </t>
  </si>
  <si>
    <t>CHAMPAQUI A ,CHAMPAQUI B</t>
  </si>
  <si>
    <t>Conferencia</t>
  </si>
  <si>
    <t>Leonardo Villegas</t>
  </si>
  <si>
    <t>YACANTO A y B ,YACANTO C ,CHAMPAQUI A ,CHAMPAQUI B</t>
  </si>
  <si>
    <t>Gimnasia y Esgrima de Mendoza</t>
  </si>
  <si>
    <t>Dia de los enamorados</t>
  </si>
  <si>
    <t>Espejo de Agua</t>
  </si>
  <si>
    <t>Día de los Enamorados (Espejo de agua)</t>
  </si>
  <si>
    <t>Sesión Holisitica Diana Romano</t>
  </si>
  <si>
    <t>DWS S.A.S.</t>
  </si>
  <si>
    <t>Cena Protocolar</t>
  </si>
  <si>
    <t>Skal Internacional</t>
  </si>
  <si>
    <t>YACANTO A y B ,YACANTO C ,URITORCO A ,URITORCO B</t>
  </si>
  <si>
    <t>Belgrano vs Atletico Tucumán</t>
  </si>
  <si>
    <t>Julian Haynes</t>
  </si>
  <si>
    <t>CAMARA ARGENTINA DE LA MICRO, PEQUEÑA Y MEDIANA EM</t>
  </si>
  <si>
    <t>Comidas_x000D_
Cena 27/02_x000D_
Cena 28/02_x000D_
Cena 02/03_x000D_
Almuerzo 03/03</t>
  </si>
  <si>
    <t>Colombia Basket</t>
  </si>
  <si>
    <t>CHAMPAQUI A ,CHAMPAQUI B ,YACANTO A y B ,YACANTO C ,SUQUIA A ,SUQUIA B ,URITORCO A ,URITORCO B</t>
  </si>
  <si>
    <t>Club Atlético San Lorenzo de Almagro</t>
  </si>
  <si>
    <t>Presentación +Cocktail</t>
  </si>
  <si>
    <t>Weldon Agency</t>
  </si>
  <si>
    <t>TRANSPORTADORA DE GAS DEL NORTE S A</t>
  </si>
  <si>
    <t>NOVARTIS ARGENTINA S A</t>
  </si>
  <si>
    <t>SUQUIA B</t>
  </si>
  <si>
    <t xml:space="preserve">LABOTARIO BETA </t>
  </si>
  <si>
    <t xml:space="preserve">LABORATORIO BETA </t>
  </si>
  <si>
    <t xml:space="preserve">TALLER DE PERFUMES </t>
  </si>
  <si>
    <t>SAN JAVIER</t>
  </si>
  <si>
    <t xml:space="preserve">CELEBRACIÓN DÍA DE LA MUJER </t>
  </si>
  <si>
    <t xml:space="preserve">SADE Sociedad de Escritores de Córdoba </t>
  </si>
  <si>
    <t>LUGONES A ,LUGONES B ,LUGONES C ,CHAMPAQUI A ,CHAMPAQUI B ,TERRAZA ,SUQUIA A ,SUQUIA B ,URITORCO A ,URITORCO B ,SAN JAVIER</t>
  </si>
  <si>
    <t>Convención de Ventas 2026</t>
  </si>
  <si>
    <t>ARCOR S A I C</t>
  </si>
  <si>
    <t>Desayuno</t>
  </si>
  <si>
    <t>VER</t>
  </si>
  <si>
    <t>Nuevocentro</t>
  </si>
  <si>
    <t>SOCIEDAD ARGENTINA DE ESCRITORES CORDOBA - SADE CO</t>
  </si>
  <si>
    <t>SUQUIA A ,SUQUIA B</t>
  </si>
  <si>
    <t>Presentación objetivos 2026</t>
  </si>
  <si>
    <t xml:space="preserve">REUNIÓN MARTIN COLAZO </t>
  </si>
  <si>
    <t xml:space="preserve">Colazzo Martin </t>
  </si>
  <si>
    <t xml:space="preserve">Festejo de cumpleaños asociados Febrero 2026 </t>
  </si>
  <si>
    <t>Belgrano vs Talleres</t>
  </si>
  <si>
    <t xml:space="preserve">Decathlon- Entrevistas </t>
  </si>
  <si>
    <t>DEPORSUR S.A.</t>
  </si>
  <si>
    <t>FOYER URITORCO ,FOYER SUQUIA</t>
  </si>
  <si>
    <t>ORACLE</t>
  </si>
  <si>
    <t>JEMERSOFT S.A.S</t>
  </si>
  <si>
    <t>LUGONES A ,LUGONES B ,LUGONES C ,CHAMPAQUI A ,CHAMPAQUI B ,URITORCO A ,URITORCO B ,SUQUIA A ,SUQUIA B</t>
  </si>
  <si>
    <t>NPlay</t>
  </si>
  <si>
    <t>GRUPO CONVERGENCIA SA</t>
  </si>
  <si>
    <t xml:space="preserve">CAPACITACIÓN </t>
  </si>
  <si>
    <t>After</t>
  </si>
  <si>
    <t>DISTECNA.COM S.A</t>
  </si>
  <si>
    <t xml:space="preserve">Cena </t>
  </si>
  <si>
    <t>Minilent</t>
  </si>
  <si>
    <t xml:space="preserve">FOYER LUGONES </t>
  </si>
  <si>
    <t>Descorche y empanadas</t>
  </si>
  <si>
    <t xml:space="preserve">Assesment CAPACITACIÓN </t>
  </si>
  <si>
    <t xml:space="preserve">YARA ARGENTINA </t>
  </si>
  <si>
    <t>CAPACITACIÓN VISMA_x000D_
1er Módulo Grupo Gerentes</t>
  </si>
  <si>
    <t xml:space="preserve">CAPACITACIÓN RRHH VISMA </t>
  </si>
  <si>
    <t>Belgrano vs Racing</t>
  </si>
  <si>
    <t xml:space="preserve">OAXALA </t>
  </si>
  <si>
    <t>OAXALA</t>
  </si>
  <si>
    <t xml:space="preserve">CAPACITACIÓN RRHH- SISTEMA VISMA </t>
  </si>
  <si>
    <t xml:space="preserve">CAPACITACIÓN RRHH SISTEMA VISMA </t>
  </si>
  <si>
    <t xml:space="preserve">Cena para 15 pasajeros del grupo </t>
  </si>
  <si>
    <t xml:space="preserve">OXALA </t>
  </si>
  <si>
    <t>LUGONES A ,LUGONES B ,LUGONES C ,FOYER LUGONES  ,URITORCO A</t>
  </si>
  <si>
    <t xml:space="preserve">MEETING ROYAL PRESTIGE </t>
  </si>
  <si>
    <t>HYCITE BA SRL </t>
  </si>
  <si>
    <t xml:space="preserve">ACCIÓN DE PASCUAS QC </t>
  </si>
  <si>
    <t>LUGONES A ,LUGONES B ,LUGONES C ,FOYER LUGONES  ,TERRAZA ,YACANTO A y B ,YACANTO C ,URITORCO A ,URITORCO B ,SALA B ,SAN JAVIER</t>
  </si>
  <si>
    <t>Congreso SACO</t>
  </si>
  <si>
    <t>SOCIEDAD ARGENTINA DE CIRUGIA DE LA OBESIDAD</t>
  </si>
  <si>
    <t>Consolid SRL</t>
  </si>
  <si>
    <t>CHAMPAQUI A ,CHAMPAQUI B ,SALA A  ,URITORCO A ,URITORCO B</t>
  </si>
  <si>
    <t>Lorenzetti</t>
  </si>
  <si>
    <t xml:space="preserve">Fundacion Mediterranea </t>
  </si>
  <si>
    <t xml:space="preserve">CAPACITACIÓN RRHH- MODULO VISMA </t>
  </si>
  <si>
    <t xml:space="preserve">SADE </t>
  </si>
  <si>
    <t>PResentación</t>
  </si>
  <si>
    <t>Halo Estudio</t>
  </si>
  <si>
    <t>ARMADO DE HUEVOS DE PASCUAS</t>
  </si>
  <si>
    <t xml:space="preserve">RECURSOS HUMANOS </t>
  </si>
  <si>
    <t>Pia Romero (Alvarez)</t>
  </si>
  <si>
    <t xml:space="preserve">SUQUIA A ,SUQUIA B ,SALA A </t>
  </si>
  <si>
    <t>*Fecha tentativa*Evento SCOPE- SERVIER</t>
  </si>
  <si>
    <t>Inmotion Productora</t>
  </si>
  <si>
    <t xml:space="preserve">Puro Pilates </t>
  </si>
  <si>
    <t>LUGONES A ,LUGONES B ,LUGONES C ,TERRAZA</t>
  </si>
  <si>
    <t>Palacios Elizabeth</t>
  </si>
  <si>
    <t xml:space="preserve">CAPACITACIÓN + WORKSHOP ROLSOL </t>
  </si>
  <si>
    <t>ROLSOL</t>
  </si>
  <si>
    <t xml:space="preserve">CAPACITACIÓN RRHH- 1er MODULO VISMA </t>
  </si>
  <si>
    <t>Te de pascuas</t>
  </si>
  <si>
    <t xml:space="preserve">RITUAL RE NACER- EXPERIENCIA DE BIENESTAR </t>
  </si>
  <si>
    <t>MASTER CLASS ROSCA DE PASCUAS</t>
  </si>
  <si>
    <t xml:space="preserve">ALMUERZO DOMINGO DE PASCUAS </t>
  </si>
  <si>
    <t>COLEGIO DE ESCRIBANOS DE LA PROVINCIA DE CORDOBA</t>
  </si>
  <si>
    <t xml:space="preserve">EVENTO YPF - YPF GAS_x000D_
 </t>
  </si>
  <si>
    <t>YPF S.A.</t>
  </si>
  <si>
    <t xml:space="preserve">SITE INSPECTION </t>
  </si>
  <si>
    <t>Fiexpo</t>
  </si>
  <si>
    <t>CIRCUITO GASTRONOMICO SRL</t>
  </si>
  <si>
    <t>CHAMPAQUI A ,CHAMPAQUI B ,YACANTO A y B ,YACANTO C ,LAS SIERRAS</t>
  </si>
  <si>
    <t xml:space="preserve">DECATHLON </t>
  </si>
  <si>
    <t>Jimenez Records S.A.S</t>
  </si>
  <si>
    <t xml:space="preserve">REUNIÓN DE COMISIÓN DIRECTIVA Y LECTURA </t>
  </si>
  <si>
    <t xml:space="preserve">LUGONES A ,LUGONES B ,LUGONES C ,CHAMPAQUI B ,CHAMPAQUI A ,FOYER LUGONES </t>
  </si>
  <si>
    <t>ADN PYME ARCOR</t>
  </si>
  <si>
    <t xml:space="preserve">BELGRANO </t>
  </si>
  <si>
    <t xml:space="preserve">CADENA 3 </t>
  </si>
  <si>
    <t>RADIODIFUSORA DEL CENTRO SA</t>
  </si>
  <si>
    <t>LUGONES A ,LUGONES B ,LUGONES C ,CHAMPAQUI A ,CHAMPAQUI B ,URITORCO A ,URITORCO B ,SUQUIA A ,SUQUIA B ,TERRAZA</t>
  </si>
  <si>
    <t>Estetica Link</t>
  </si>
  <si>
    <t xml:space="preserve">REUNIÓN DE PROPIETARIOS </t>
  </si>
  <si>
    <t xml:space="preserve">CLUB DE LECTURA </t>
  </si>
  <si>
    <t xml:space="preserve"> Cena Beyfortus- cliente Sanofi</t>
  </si>
  <si>
    <t>Enfasis people &amp; brands</t>
  </si>
  <si>
    <t xml:space="preserve">Festejo de cumpleaños asociados Marzo 2026 </t>
  </si>
  <si>
    <t xml:space="preserve">Presentación almuerzo y cocktail </t>
  </si>
  <si>
    <t xml:space="preserve">MSC Cruceros </t>
  </si>
  <si>
    <t>Reunión de Daniel Alvarez</t>
  </si>
  <si>
    <t xml:space="preserve">PRESENTACIÓN CON UNIVERSIDADES DE CÓRDOBA Y TUCUMÁN </t>
  </si>
  <si>
    <t>Education Abroad Latin America LLC</t>
  </si>
  <si>
    <t>Maja Eventos</t>
  </si>
  <si>
    <t>Lupas Univet</t>
  </si>
  <si>
    <t xml:space="preserve">DESAYUNO DE TRABAJO </t>
  </si>
  <si>
    <t xml:space="preserve">Vicky Maidana </t>
  </si>
  <si>
    <t xml:space="preserve">LAS SIERRAS ,SALA A </t>
  </si>
  <si>
    <t>Amcham</t>
  </si>
  <si>
    <t>JUAN PABLO BACA</t>
  </si>
  <si>
    <t>Capacitación: Manejo de Quejas y reclamos como oportunidad de experiencia _x000D_
(Organizado por la AHT)</t>
  </si>
  <si>
    <t>AHT - Manejo de Quejas y reclamos como oport</t>
  </si>
  <si>
    <t>URITORCO A</t>
  </si>
  <si>
    <t xml:space="preserve">DESAYUNO DE JUAN TOSELLI _x000D_
</t>
  </si>
  <si>
    <t xml:space="preserve">Juan Toselli </t>
  </si>
  <si>
    <t>LAS SIERRAS ,SAN JAVIER ,CHAMPAQUI A ,CHAMPAQUI B</t>
  </si>
  <si>
    <t xml:space="preserve">ESTUDIANTES </t>
  </si>
  <si>
    <t>CLUB ESTUDIANTES DE LA PLATA</t>
  </si>
  <si>
    <t>Amgen</t>
  </si>
  <si>
    <t xml:space="preserve">Evento para 20/25 personas </t>
  </si>
  <si>
    <t>Facundo Romero</t>
  </si>
  <si>
    <t>YACANTO A y B ,YACANTO C ,URITORCO A ,URITORCO B ,SUQUIA A ,SUQUIA B</t>
  </si>
  <si>
    <t>Deportivo Riestra</t>
  </si>
  <si>
    <t>DEPORTIVO RIESTRA ASOCIACION DE FOMENTO BARRIO COL</t>
  </si>
  <si>
    <t>MESA DE MARMOL ,LUGONES A ,LUGONES B ,LUGONES C ,FOYER LUGONES  ,SAN JAVIER</t>
  </si>
  <si>
    <t>Medicina Interna_x000D_
XI Congreso Nacional de Medicina Interna_x000D_
19 armado</t>
  </si>
  <si>
    <t>Grupo Binomio</t>
  </si>
  <si>
    <t xml:space="preserve">PRESENTACIÓN Y WORKSHOP </t>
  </si>
  <si>
    <t>Dirección de promoción de El Calafate</t>
  </si>
  <si>
    <t xml:space="preserve">DESAYUNO + ALMUERZO DE PALMARSA </t>
  </si>
  <si>
    <t>Palmarsa</t>
  </si>
  <si>
    <t>LUGONES A ,LUGONES B ,LUGONES C ,TERRAZA ,CHAMPAQUI A ,CHAMPAQUI B</t>
  </si>
  <si>
    <t xml:space="preserve">Jornadas de Ortodoncia Digital </t>
  </si>
  <si>
    <t>SABER MIGRAR ORTODONCIA SAS</t>
  </si>
  <si>
    <t>YACANTO A y B ,YACANTO C ,TERRAZA</t>
  </si>
  <si>
    <t>Capacitaciones RRHH</t>
  </si>
  <si>
    <t>Mani King</t>
  </si>
  <si>
    <t>PRO DE MAN SOCIEDAD ANONIMA</t>
  </si>
  <si>
    <t xml:space="preserve">EVENTO CORPORATIVO </t>
  </si>
  <si>
    <t>Killers</t>
  </si>
  <si>
    <t xml:space="preserve">Cena para 40 personas </t>
  </si>
  <si>
    <t>OSTARA SA</t>
  </si>
  <si>
    <t>PRIORITY TRAVEL</t>
  </si>
  <si>
    <t xml:space="preserve">REUNIÓN AHT + ALMUERZO EN LA PAMPA </t>
  </si>
  <si>
    <t>AHT</t>
  </si>
  <si>
    <t xml:space="preserve">ASAMBLEA ANUAL ORDINARIA </t>
  </si>
  <si>
    <t>Cooperativa IFICOSEP</t>
  </si>
  <si>
    <t>Curso de Odontología</t>
  </si>
  <si>
    <t>Anibal Parravicini</t>
  </si>
  <si>
    <t xml:space="preserve">ALMUERZO </t>
  </si>
  <si>
    <t>LUGONES A ,LUGONES B</t>
  </si>
  <si>
    <t xml:space="preserve">SESION HOLISTICA CON DIANA </t>
  </si>
  <si>
    <t>CHAMPAQUI A ,CHAMPAQUI B ,FOYER CHAMPAQUI ,SAN JAVIER</t>
  </si>
  <si>
    <t>Laboratorio Roche</t>
  </si>
  <si>
    <t>BCD TRAVEL ARGENTINA SA</t>
  </si>
  <si>
    <t>YACANTO A y B ,YACANTO C ,LAS SIERRAS</t>
  </si>
  <si>
    <t xml:space="preserve">PRESENTACIÓN ANGELICA MOLINA </t>
  </si>
  <si>
    <t xml:space="preserve">Angelica Molina </t>
  </si>
  <si>
    <t>Franqui Day</t>
  </si>
  <si>
    <t>Nego Zona</t>
  </si>
  <si>
    <t>Evento Mebutar</t>
  </si>
  <si>
    <t>MARKETING EVENTS &amp; TRAVEL GROUP SA</t>
  </si>
  <si>
    <t xml:space="preserve"> Jornada Corporativa</t>
  </si>
  <si>
    <t>CHAMPAQUI A ,CHAMPAQUI B ,TERRAZA ,FOYER CHAMPAQUI</t>
  </si>
  <si>
    <t>PANAMA_x000D_
Champaqui mesas redondas _x000D_
Workshop en terraza</t>
  </si>
  <si>
    <t>VALLARINO MARIA BELEN</t>
  </si>
  <si>
    <t xml:space="preserve">Campus_x000D_
</t>
  </si>
  <si>
    <t>HotelDo</t>
  </si>
  <si>
    <t>CHAMPAQUI A ,CHAMPAQUI B ,FOYER CHAMPAQUI</t>
  </si>
  <si>
    <t>EVENTO CORPORATIVO DE VERISURE</t>
  </si>
  <si>
    <t>Verisure Arg. Monitoreo de Alarmas SA</t>
  </si>
  <si>
    <t xml:space="preserve">EVENTO SETUR </t>
  </si>
  <si>
    <t>SETUR</t>
  </si>
  <si>
    <t xml:space="preserve">LUGONES A ,LUGONES B ,LUGONES C ,FOYER LUGONES </t>
  </si>
  <si>
    <t>Jornadas médicas de Mastología</t>
  </si>
  <si>
    <t>IV Eventos</t>
  </si>
  <si>
    <t xml:space="preserve">LABORATORIO GALDERMA </t>
  </si>
  <si>
    <t>Met Group</t>
  </si>
  <si>
    <t xml:space="preserve">URITORCO A ,URITORCO B ,SUQUIA A ,SUQUIA B ,SALA A </t>
  </si>
  <si>
    <t>MERCK</t>
  </si>
  <si>
    <t>B T S BOUNTY TRAVEL SERVICE S R L</t>
  </si>
  <si>
    <t xml:space="preserve"> Roadshows 2026</t>
  </si>
  <si>
    <t xml:space="preserve">CAPACITACIÓN CARUSO SEGUROS </t>
  </si>
  <si>
    <t xml:space="preserve">New Fly </t>
  </si>
  <si>
    <t>TERRAZA ,LAS SIERRAS</t>
  </si>
  <si>
    <t>BANCO MACRO SOCIEDAD ANONIMA</t>
  </si>
  <si>
    <t>CHAMPAQUI A ,URITORCO B ,URITORCO A ,CHAMPAQUI B ,TERRAZA ,LAS SIERRAS</t>
  </si>
  <si>
    <t>EPMV y Jornadas Intergrupales</t>
  </si>
  <si>
    <t>Vistage SA</t>
  </si>
  <si>
    <t>Yohana Cavion</t>
  </si>
  <si>
    <t>SUQUIA A ,SUQUIA B ,FOYER SUQUIA</t>
  </si>
  <si>
    <t>PRESENTACIÓN LABORATORIO  Temis Lostaló</t>
  </si>
  <si>
    <t>Rubra Eventos</t>
  </si>
  <si>
    <t>“Encuentro Regional Dravet: Actualización en Estiripentol y Manejo Integral</t>
  </si>
  <si>
    <t>LABORATORIOS TEMIS LOSTALO S A</t>
  </si>
  <si>
    <t xml:space="preserve">EVENTO DE NEW FLY </t>
  </si>
  <si>
    <t xml:space="preserve">ACCENTURE SRL </t>
  </si>
  <si>
    <t>Accenture S.R.L</t>
  </si>
  <si>
    <t>CHAMPAQUI A ,LAS SIERRAS</t>
  </si>
  <si>
    <t>Visit Iguassu</t>
  </si>
  <si>
    <t>Laboratorios Panalab</t>
  </si>
  <si>
    <t xml:space="preserve">TRAVEL SERVICES ARGENTINA S. A. </t>
  </si>
  <si>
    <t>TERRAZA</t>
  </si>
  <si>
    <t xml:space="preserve">EVENTO CEVA </t>
  </si>
  <si>
    <t xml:space="preserve">Ceva Salud Animal SRL </t>
  </si>
  <si>
    <t>URITORCO A ,URITORCO B ,FOYER URITORCO</t>
  </si>
  <si>
    <t>Evento corporativo de una empresa de tecnología</t>
  </si>
  <si>
    <t>Creatis</t>
  </si>
  <si>
    <t xml:space="preserve">LABORATORIOS BAGO S A </t>
  </si>
  <si>
    <t xml:space="preserve">Reunion de 20 personas </t>
  </si>
  <si>
    <t>Furlong Fox SA</t>
  </si>
  <si>
    <t>LUGONES A ,LUGONES B ,LUGONES C ,CHAMPAQUI A ,CHAMPAQUI B</t>
  </si>
  <si>
    <t>Desfile</t>
  </si>
  <si>
    <t>Kremlin Agency</t>
  </si>
  <si>
    <t>Evento de coaching</t>
  </si>
  <si>
    <t>Claudia Anabel Escalante</t>
  </si>
  <si>
    <t xml:space="preserve">MENTES EXPERTAS </t>
  </si>
  <si>
    <t>Mentes Expertas</t>
  </si>
  <si>
    <t xml:space="preserve">REUNIÓN DE TRABAJO </t>
  </si>
  <si>
    <t>RUTUR VIAJES S.R.L</t>
  </si>
  <si>
    <t>Grupo Capita</t>
  </si>
  <si>
    <t xml:space="preserve">LUGONES A ,LUGONES C ,LUGONES B ,SALA A </t>
  </si>
  <si>
    <t>Pre Congreso</t>
  </si>
  <si>
    <t>Instituto Argentino de Ejecutivos de Finanzas IAEF</t>
  </si>
  <si>
    <t>Presentación</t>
  </si>
  <si>
    <t>PRODUCTOS ROCHE S A QUIMICA E INDUSTRIAL</t>
  </si>
  <si>
    <t xml:space="preserve">ciclo Lab Trends 2026 </t>
  </si>
  <si>
    <t>GRUPO GESTION</t>
  </si>
  <si>
    <t>CHAMPAQUI A ,CHAMPAQUI B ,TERRAZA</t>
  </si>
  <si>
    <t>Business Tech Day – Soluciones que conectan</t>
  </si>
  <si>
    <t>CANAL DIRECTO SOLUCIONES DE IMPRESION S.A</t>
  </si>
  <si>
    <t xml:space="preserve">CENA ONG FUNDACIÓN SOLES EN CÓRDOBA </t>
  </si>
  <si>
    <t xml:space="preserve">ONG FUNDACIÓN SOLES EN CÓRDOBA </t>
  </si>
  <si>
    <t>LUGONES A ,LUGONES B ,LUGONES C ,CHAMPAQUI A ,URITORCO A ,URITORCO B ,SUQUIA A ,SUQUIA B ,TERRAZA ,SAN JAVIER ,CHAMPAQUI B ,LAS SIERRAS</t>
  </si>
  <si>
    <t>Cordoba Teje</t>
  </si>
  <si>
    <t>EMOCIONART CBA SAS</t>
  </si>
  <si>
    <t>YACANTO A y B ,YACANTO C ,Piscina</t>
  </si>
  <si>
    <t>MICHELL</t>
  </si>
  <si>
    <t>LUGONES A ,LUGONES B ,LUGONES C ,FOYER LUGONES  ,TERRAZA</t>
  </si>
  <si>
    <t xml:space="preserve">Congreso SAMECIPP - Una Producciones_x000D_
</t>
  </si>
  <si>
    <t>SAMECIPP</t>
  </si>
  <si>
    <t>COOVAECO TURISMO COOPERATIVA DE PRESTACION DE SE</t>
  </si>
  <si>
    <t>CHAMPAQUI A ,CHAMPAQUI B ,LAS SIERRAS</t>
  </si>
  <si>
    <t>Grupo</t>
  </si>
  <si>
    <t>BienBa</t>
  </si>
  <si>
    <t xml:space="preserve">CONGRESO DE UROLOGÍA- SANATORIO ALLENDE </t>
  </si>
  <si>
    <t>Sanatorio Allende SA</t>
  </si>
  <si>
    <t>Coloquio Regional</t>
  </si>
  <si>
    <t>Union Grafica Argentina Regional</t>
  </si>
  <si>
    <t xml:space="preserve">LUGONES A ,LUGONES B ,LUGONES C ,CHAMPAQUI A ,CHAMPAQUI B ,TERRAZA ,URITORCO A ,URITORCO B ,SUQUIA A ,SUQUIA B ,YACANTO A y B ,YACANTO C ,LAS SIERRAS ,SAN JAVIER ,SALA A </t>
  </si>
  <si>
    <t>Sordic</t>
  </si>
  <si>
    <t xml:space="preserve">SOCIEDAD DE RADIOLOGIA Y DIAGNOSTICO POR IMAGENES </t>
  </si>
  <si>
    <t>DESAYUNO  INFOR</t>
  </si>
  <si>
    <t>MCI</t>
  </si>
  <si>
    <t xml:space="preserve">SPA SER- ESPACIO DE COACHING Y ENEGRAMA </t>
  </si>
  <si>
    <t xml:space="preserve">SPA SER </t>
  </si>
  <si>
    <t>CORREO ANDREANI SA</t>
  </si>
  <si>
    <t>Lab. Abbott 1° edición - Glucerna</t>
  </si>
  <si>
    <t>CONGRESOS INTERNACIONALES S A</t>
  </si>
  <si>
    <t xml:space="preserve">LUGONES A ,LUGONES B ,LUGONES C ,FOYER LUGONES  ,TERRAZA ,SALA B ,SALA A </t>
  </si>
  <si>
    <t xml:space="preserve">JORNADA DE ESCRIBANOS </t>
  </si>
  <si>
    <t>Giraudo Javier</t>
  </si>
  <si>
    <t>CHAMPAQUI A ,CHAMPAQUI B ,SAN JAVIER</t>
  </si>
  <si>
    <t>Exposición de monedas</t>
  </si>
  <si>
    <t>CAPPELLETTI ROBERTO FRANCISCO</t>
  </si>
  <si>
    <t xml:space="preserve">Presentación de libro </t>
  </si>
  <si>
    <t>Naciones Travel</t>
  </si>
  <si>
    <t>Actitud Grow</t>
  </si>
  <si>
    <t xml:space="preserve">70 participates _x000D_
Mesas redondas con frente abierto_x000D_
</t>
  </si>
  <si>
    <t>Promocionar</t>
  </si>
  <si>
    <t xml:space="preserve">Institución Cervantes </t>
  </si>
  <si>
    <t>DAMIC</t>
  </si>
  <si>
    <t>Andrea Juncos &amp; Asociados</t>
  </si>
  <si>
    <t>Fundación Strusberg</t>
  </si>
  <si>
    <t>Campeonato de Poker</t>
  </si>
  <si>
    <t xml:space="preserve"> AAPPCE X 100 - RUTUR</t>
  </si>
  <si>
    <t>Evento Häfele - Acadeia Federa</t>
  </si>
  <si>
    <t>HAFELE ARGENTINA S A</t>
  </si>
  <si>
    <t>Mediterranea Sociedad de Bolsa</t>
  </si>
  <si>
    <t>Fundación Urologica de Córdoba</t>
  </si>
  <si>
    <t>LUGONES A ,LUGONES B ,LUGONES C ,CHAMPAQUI B ,LAS SIERRAS ,SAN JAVIER ,CHAMPAQUI A</t>
  </si>
  <si>
    <t xml:space="preserve">RUGBY </t>
  </si>
  <si>
    <t>PLAY PATAGONIA SRL</t>
  </si>
  <si>
    <t xml:space="preserve"> JORNADAS INTERNACIONALES DE AVANCES EN CIRUGIA GINECOLOGICA</t>
  </si>
  <si>
    <t>Hospital Privado Universitario de Córdoba</t>
  </si>
  <si>
    <t xml:space="preserve">CALZADO </t>
  </si>
  <si>
    <t>lady store</t>
  </si>
  <si>
    <t>SPA SER- ESPACIO DE COACHING Y ENEAGRAMA</t>
  </si>
  <si>
    <t>URITORCO A ,URITORCO B ,SUQUIA A ,SUQUIA B ,FOYER URITORCO ,FOYER SUQUIA</t>
  </si>
  <si>
    <t xml:space="preserve">EXPO CALZADO + NETWORKING </t>
  </si>
  <si>
    <t>Mannequins</t>
  </si>
  <si>
    <t>Expo Arte Decorativo</t>
  </si>
  <si>
    <t xml:space="preserve">Fecha: 13-14-15 de Julio_x000D_
Horario: Jornada completa_x000D_
Cantidad de asistentes: 60_x000D_
Tipo de Evento: Lanzamiento de Victrato Gold </t>
  </si>
  <si>
    <t>Agencia Sapia</t>
  </si>
  <si>
    <t xml:space="preserve">FERIA DEL LIBRO </t>
  </si>
  <si>
    <t xml:space="preserve">BAUTISMO </t>
  </si>
  <si>
    <t>Gabriela Vaca Pereyra</t>
  </si>
  <si>
    <t>LUGONES A ,LUGONES B ,LUGONES C ,CHAMPAQUI A ,CHAMPAQUI B ,TERRAZA</t>
  </si>
  <si>
    <t>VC Summit - Agencia Córdoba Innovar y emprender</t>
  </si>
  <si>
    <t>Alvarez Rivero Agustin</t>
  </si>
  <si>
    <t>Reumatología</t>
  </si>
  <si>
    <t>Andrea Yorio Congresos &amp; Eventos</t>
  </si>
  <si>
    <t>Evento CACE</t>
  </si>
  <si>
    <t>Syncrovibes</t>
  </si>
  <si>
    <t>LUGONES A ,LUGONES B ,LUGONES C ,MESA DE MARMOL</t>
  </si>
  <si>
    <t>Infecto SIC</t>
  </si>
  <si>
    <t>Lab Abbott - 2° edición - Pediasure</t>
  </si>
  <si>
    <t>YACANTO A y B ,YACANTO C ,CHAMPAQUI A ,CHAMPAQUI B ,URITORCO A ,URITORCO B ,SUQUIA A ,SUQUIA B ,LAS SIERRAS</t>
  </si>
  <si>
    <t>Meet Brasil</t>
  </si>
  <si>
    <t>Meeting Brasil</t>
  </si>
  <si>
    <t>INSTITUTO MODELO DE CARDIOLOGIA PRIVADO SRL</t>
  </si>
  <si>
    <t>LUGONES A ,LUGONES B ,LUGONES C ,SUQUIA A ,URITORCO A ,URITORCO B ,SUQUIA B</t>
  </si>
  <si>
    <t>Royal</t>
  </si>
  <si>
    <t>Arcos Dorados</t>
  </si>
  <si>
    <t>CHAMPAQUI A ,CHAMPAQUI B ,MESA DE MARMOL ,TERRAZA ,URITORCO A ,URITORCO B</t>
  </si>
  <si>
    <t xml:space="preserve">CBS </t>
  </si>
  <si>
    <t>LUGONES A ,LUGONES B ,LUGONES C ,YACANTO A y B ,YACANTO C</t>
  </si>
  <si>
    <t>Congreso Argentino de ORL</t>
  </si>
  <si>
    <t>Asoc. Civil Cordobesa de Otorrinolaringología</t>
  </si>
  <si>
    <t>Sofia Manfredi</t>
  </si>
  <si>
    <t>LUGONES A ,LUGONES B ,LUGONES C ,CHAMPAQUI A ,CHAMPAQUI B ,TERRAZA ,SAN JAVIER</t>
  </si>
  <si>
    <t>Hematología</t>
  </si>
  <si>
    <t>Grupo Uno</t>
  </si>
  <si>
    <t xml:space="preserve">Jonada para 70 personas. Solicta Cena </t>
  </si>
  <si>
    <t>EN-PATAGONIA</t>
  </si>
  <si>
    <t>LUGONES A ,LUGONES B ,LUGONES C ,FOYER LUGONES  ,CHAMPAQUI A ,CHAMPAQUI B ,FOYER CHAMPAQUI</t>
  </si>
  <si>
    <t xml:space="preserve">ENCUENTRO DE DANZAS ÁRABES </t>
  </si>
  <si>
    <t>Nancy Morales</t>
  </si>
  <si>
    <t>LAS SIERRAS ,URITORCO A ,URITORCO B ,SUQUIA B ,SUQUIA A ,URITORCO A ,URITORCO B ,LAS SIERRAS ,SUQUIA A ,SUQUIA B ,LUGONES A ,LUGONES B ,LUGONES C</t>
  </si>
  <si>
    <t>Summit (Licitación)</t>
  </si>
  <si>
    <t>Wedgewood</t>
  </si>
  <si>
    <t>CHAMPAQUI A ,TERRAZA</t>
  </si>
  <si>
    <t xml:space="preserve">WORKSHOP con hoteleros brasileros </t>
  </si>
  <si>
    <t>Free Way SRL</t>
  </si>
  <si>
    <t>Congreso ASACAM</t>
  </si>
  <si>
    <t>Asoc. de Auditoría y Calidad Médica de Córdoba</t>
  </si>
  <si>
    <t>CHAMPAQUI A ,CHAMPAQUI B ,TERRAZA ,MESA DE MARMOL</t>
  </si>
  <si>
    <t>Auditorioa Medica</t>
  </si>
  <si>
    <t>Laboratorio Abbott</t>
  </si>
  <si>
    <t>LUGONES A ,LUGONES B ,LUGONES C ,URITORCO A ,URITORCO B ,SUQUIA A ,SUQUIA B</t>
  </si>
  <si>
    <t>Preforum</t>
  </si>
  <si>
    <t>LUGONES A ,LUGONES B ,LUGONES C ,FOYER LUGONES  ,CHAMPAQUI A ,CHAMPAQUI B ,FOYER CHAMPAQUI ,TERRAZA ,URITORCO A ,URITORCO B ,SUQUIA A ,SUQUIA B</t>
  </si>
  <si>
    <t xml:space="preserve">Malezas 2026_x000D_
_x000D_
</t>
  </si>
  <si>
    <t xml:space="preserve">Sema </t>
  </si>
  <si>
    <t xml:space="preserve">LUGONES A ,LUGONES B ,LUGONES C ,CHAMPAQUI A ,CHAMPAQUI B ,URITORCO A ,URITORCO B ,SUQUIA A ,SUQUIA B ,SALA A </t>
  </si>
  <si>
    <t>Estetica Mundial</t>
  </si>
  <si>
    <t xml:space="preserve">LUGONES A ,LUGONES B ,FOYER LUGONES </t>
  </si>
  <si>
    <t xml:space="preserve">7/09 dia de armado_x000D_
08/09_x000D_
09/09 No no hay actividad _x000D_
10/09 </t>
  </si>
  <si>
    <t>Venue Brand Experience</t>
  </si>
  <si>
    <t>Simposio Terapia Intensiva</t>
  </si>
  <si>
    <t>Meet UP Fintech</t>
  </si>
  <si>
    <t>BANCOR</t>
  </si>
  <si>
    <t>URITORCO A ,URITORCO B ,LAS SIERRAS</t>
  </si>
  <si>
    <t>LUGONES A ,LUGONES B ,LUGONES C ,FOYER LUGONES  ,CHAMPAQUI A ,CHAMPAQUI B ,TERRAZA</t>
  </si>
  <si>
    <t xml:space="preserve">CAMARA ARGENTINA DE LA CONSTRUCCIÓN </t>
  </si>
  <si>
    <t>CAMARCO</t>
  </si>
  <si>
    <t>LUGONES A ,LUGONES B ,LUGONES C ,CHAMPAQUI A ,CHAMPAQUI B ,TERRAZA ,MESA DE MARMOL</t>
  </si>
  <si>
    <t>AOCC</t>
  </si>
  <si>
    <t>EA Eventos Ezequiel Arin</t>
  </si>
  <si>
    <t>LUGONES A ,LUGONES B ,LUGONES C ,CHAMPAQUI A ,CHAMPAQUI B ,SUQUIA A ,URITORCO A ,URITORCO B ,SUQUIA B ,YACANTO A y B ,YACANTO C</t>
  </si>
  <si>
    <t>Sin Seña</t>
  </si>
  <si>
    <t>LUGONES A ,LUGONES B ,LUGONES C ,CHAMPAQUI A ,CHAMPAQUI B ,TERRAZA ,URITORCO A ,URITORCO B ,SUQUIA A ,SUQUIA B ,YACANTO A y B ,YACANTO C ,SAN JAVIER ,SALA A  ,LAS SIERRAS ,SALA B ,SALA D</t>
  </si>
  <si>
    <t>Congreso de Anestesiología</t>
  </si>
  <si>
    <t>Asociación de Anestesiología de Córdoba</t>
  </si>
  <si>
    <t xml:space="preserve">Lanzamiento Uldoral - Laboratorio BAGO </t>
  </si>
  <si>
    <t xml:space="preserve">Venturance S.A </t>
  </si>
  <si>
    <t>Secretaría de Educación</t>
  </si>
  <si>
    <t>LUGONES A ,LUGONES B ,LUGONES C ,TERRAZA ,FOYER LUGONES  ,URITORCO A ,URITORCO B ,SUQUIA A ,SUQUIA B ,MESA DE MARMOL ,CHAMPAQUI A ,CHAMPAQUI B</t>
  </si>
  <si>
    <t>Congreso de Oftalmología</t>
  </si>
  <si>
    <t>Red Mujer 360 2da edición</t>
  </si>
  <si>
    <t>Farmacias Red</t>
  </si>
  <si>
    <t>CHAMPAQUI A ,CHAMPAQUI B ,SAN JAVIER ,FOYER CHAMPAQUI</t>
  </si>
  <si>
    <t>CONVECIÓN FURRY _x000D_
Anthro Party Argentina</t>
  </si>
  <si>
    <t xml:space="preserve">MARIANO CISTERNA </t>
  </si>
  <si>
    <t xml:space="preserve">LUGONES A ,LUGONES B ,LUGONES C ,FOYER LUGONES  ,YACANTO A y B ,YACANTO C ,SALA A </t>
  </si>
  <si>
    <t>Jornada Internacional _x000D_
Javier Díaz Lucero - Latin ADV</t>
  </si>
  <si>
    <t>Grido IICC</t>
  </si>
  <si>
    <t>RadioCirugia</t>
  </si>
  <si>
    <t>CHAMPAQUI A ,CHAMPAQUI B ,YACANTO A y B ,YACANTO C ,TERRAZA ,LAS SIERRAS ,SUQUIA A ,SUQUIA B ,SAN JAVIER</t>
  </si>
  <si>
    <t>Ministerio de Educación de Córdoba</t>
  </si>
  <si>
    <t>LUGONES A ,LUGONES B ,LUGONES C ,FOYER LUGONES  ,URITORCO A ,URITORCO B</t>
  </si>
  <si>
    <t>52º Congreso Argentino de Patología que realizaremos en la Ciudad de Córdoba.</t>
  </si>
  <si>
    <t>Sociedad Argentina de Patología</t>
  </si>
  <si>
    <t>Lab Abbott . 3° edición - Ensure</t>
  </si>
  <si>
    <t>CHAMPAQUI A ,CHAMPAQUI B ,LAS SIERRAS ,YACANTO A y B ,YACANTO C ,TERRAZA ,SUQUIA A ,SUQUIA B</t>
  </si>
  <si>
    <t xml:space="preserve">Encuentro de constelaciones </t>
  </si>
  <si>
    <t>Tendiendo Puentes</t>
  </si>
  <si>
    <t xml:space="preserve">Casamiento </t>
  </si>
  <si>
    <t>Maor Miodowsky</t>
  </si>
  <si>
    <t xml:space="preserve">Convención de farmacéuticos </t>
  </si>
  <si>
    <t>Empresa BIENBA</t>
  </si>
  <si>
    <t xml:space="preserve">Congreso IAEF_x000D_
</t>
  </si>
  <si>
    <t>LUGONES A ,LUGONES B ,LUGONES C ,FOYER LUGONES  ,URITORCO A ,URITORCO B ,FOYER URITORCO ,SUQUIA A ,SUQUIA B ,FOYER SUQUIA</t>
  </si>
  <si>
    <t>Congreso  del Colegio de Kinesiología y Fisiología de Cordoba</t>
  </si>
  <si>
    <t xml:space="preserve"> Colegio profesional de kinesiólogos y fisioterape</t>
  </si>
  <si>
    <t xml:space="preserve">FIESTA DE HALLOWEEN </t>
  </si>
  <si>
    <t>LUGONES A ,LUGONES B ,LUGONES C ,CHAMPAQUI A ,CHAMPAQUI B ,TERRAZA ,URITORCO A ,URITORCO B ,SUQUIA A ,SUQUIA B ,SAN JAVIER</t>
  </si>
  <si>
    <t>FORUM</t>
  </si>
  <si>
    <t>Congreso de Ginecología</t>
  </si>
  <si>
    <t xml:space="preserve">Jornada </t>
  </si>
  <si>
    <t xml:space="preserve">Asociacion de alergia </t>
  </si>
  <si>
    <t>Monha Producciones</t>
  </si>
  <si>
    <t>LUGONES A ,LUGONES B ,LUGONES C ,MESA DE MARMOL ,CHAMPAQUI A ,CHAMPAQUI B</t>
  </si>
  <si>
    <t>Medicina Transfucional</t>
  </si>
  <si>
    <t>Vinos de Córdoba</t>
  </si>
  <si>
    <t>Feria de Vinos</t>
  </si>
  <si>
    <t>LUGONES A ,LUGONES B ,LUGONES C ,SUQUIA A ,SUQUIA B</t>
  </si>
  <si>
    <t xml:space="preserve">COACHING </t>
  </si>
  <si>
    <t xml:space="preserve">FUNDACION MANANTIAL PARA LA VIDA </t>
  </si>
  <si>
    <t>MENTES EXPERTAS</t>
  </si>
  <si>
    <t xml:space="preserve">FESTEJO DE LOS 100 AÑOS </t>
  </si>
  <si>
    <t>Laboratorios Andromaco SAICI</t>
  </si>
  <si>
    <t>LUGONES A ,YACANTO C ,YACANTO A y B ,LUGONES B ,LUGONES C ,CHAMPAQUI A ,CHAMPAQUI B ,TERRAZA ,LAS SIERRAS ,URITORCO A ,URITORCO B ,SUQUIA A ,SUQUIA B ,SAN JAVIER</t>
  </si>
  <si>
    <t>Artelleza</t>
  </si>
  <si>
    <t xml:space="preserve">CENA DE ROTARY CLUB CÓRDOBA </t>
  </si>
  <si>
    <t>ROTARY CLUB DE CORDOBA ASOCIACION CIVIL</t>
  </si>
  <si>
    <t>Fiesta de Fin de año</t>
  </si>
  <si>
    <t>Ecoclean</t>
  </si>
  <si>
    <t>Referencias</t>
  </si>
  <si>
    <t>CONFIRMADO</t>
  </si>
  <si>
    <t>TENTATIVO</t>
  </si>
  <si>
    <t>PRESUPUESTO</t>
  </si>
  <si>
    <t>Fines de semana</t>
  </si>
  <si>
    <t>Feriados</t>
  </si>
  <si>
    <t>Mundial</t>
  </si>
  <si>
    <t>JU</t>
  </si>
  <si>
    <t>VI</t>
  </si>
  <si>
    <t>SA</t>
  </si>
  <si>
    <t>DO</t>
  </si>
  <si>
    <t>LU</t>
  </si>
  <si>
    <t>MA</t>
  </si>
  <si>
    <t>MI</t>
  </si>
  <si>
    <t>SÁ.</t>
  </si>
  <si>
    <t>DO.</t>
  </si>
  <si>
    <t>LU.</t>
  </si>
  <si>
    <t>MA.</t>
  </si>
  <si>
    <t>MI.</t>
  </si>
  <si>
    <t>JU.</t>
  </si>
  <si>
    <t>VI.</t>
  </si>
  <si>
    <t>Ocupación</t>
  </si>
  <si>
    <t>ENERO</t>
  </si>
  <si>
    <t>LUGONES</t>
  </si>
  <si>
    <t>CHAMPAQUI</t>
  </si>
  <si>
    <t>Ocupación Mensual Total</t>
  </si>
  <si>
    <t>URITORCO</t>
  </si>
  <si>
    <t>SUQUIA</t>
  </si>
  <si>
    <t>YACANTO</t>
  </si>
  <si>
    <t>FEBRERO</t>
  </si>
  <si>
    <t>MARZO</t>
  </si>
  <si>
    <t>ABRIL</t>
  </si>
  <si>
    <t>MAYO</t>
  </si>
  <si>
    <t>JUNIO</t>
  </si>
  <si>
    <t xml:space="preserve">  </t>
  </si>
  <si>
    <t>JULIO</t>
  </si>
  <si>
    <t>AGOSTO</t>
  </si>
  <si>
    <t>SEPTIEMBRE</t>
  </si>
  <si>
    <t>OCTUBRE</t>
  </si>
  <si>
    <t>NOVIEMBRE</t>
  </si>
  <si>
    <t>DICIEMBRE</t>
  </si>
  <si>
    <t>MES</t>
  </si>
  <si>
    <t>TOTAL ROOM RENTAL RACK</t>
  </si>
  <si>
    <t>ROOM RENTAL PROYECTADO</t>
  </si>
  <si>
    <t xml:space="preserve">PORCENTAJE VENDIDO (Sobre total Rack) </t>
  </si>
  <si>
    <t>PORCENTAJE OCUPADO</t>
  </si>
  <si>
    <t>REVPAR</t>
  </si>
  <si>
    <t>TOTAL</t>
  </si>
  <si>
    <t>DIAS OCUPADO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</si>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</sst>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USD]_-;\-* #,##0.00\ [$USD]_-;_-* &quot;-&quot;??\ [$USD]_-;_-@_-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2" borderId="1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1" fillId="2" borderId="0" xfId="0" applyFont="1" applyFill="1"/>
    <xf numFmtId="0" fontId="1" fillId="2" borderId="3" xfId="0" applyFont="1" applyFill="1" applyBorder="1"/>
    <xf numFmtId="0" fontId="0" fillId="0" borderId="3" xfId="0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/>
    <xf numFmtId="9" fontId="0" fillId="0" borderId="0" xfId="0" applyNumberFormat="1"/>
    <xf numFmtId="0" fontId="0" fillId="0" borderId="4" xfId="0" applyBorder="1" applyAlignment="1">
      <alignment vertical="center"/>
    </xf>
    <xf numFmtId="16" fontId="0" fillId="6" borderId="0" xfId="0" applyNumberFormat="1" applyFill="1"/>
    <xf numFmtId="16" fontId="0" fillId="2" borderId="0" xfId="0" applyNumberFormat="1" applyFill="1"/>
    <xf numFmtId="0" fontId="0" fillId="0" borderId="4" xfId="0" applyBorder="1"/>
    <xf numFmtId="0" fontId="1" fillId="2" borderId="4" xfId="0" applyFont="1" applyFill="1" applyBorder="1"/>
    <xf numFmtId="0" fontId="0" fillId="9" borderId="0" xfId="0" applyFill="1" applyAlignment="1">
      <alignment horizontal="center"/>
    </xf>
    <xf numFmtId="0" fontId="0" fillId="0" borderId="8" xfId="0" applyBorder="1"/>
    <xf numFmtId="0" fontId="0" fillId="0" borderId="2" xfId="0" applyBorder="1"/>
    <xf numFmtId="164" fontId="0" fillId="0" borderId="4" xfId="0" applyNumberFormat="1" applyBorder="1"/>
    <xf numFmtId="0" fontId="0" fillId="0" borderId="9" xfId="0" applyBorder="1"/>
    <xf numFmtId="164" fontId="0" fillId="0" borderId="9" xfId="0" applyNumberFormat="1" applyBorder="1"/>
    <xf numFmtId="0" fontId="0" fillId="0" borderId="12" xfId="0" applyBorder="1"/>
    <xf numFmtId="164" fontId="0" fillId="0" borderId="12" xfId="0" applyNumberFormat="1" applyBorder="1"/>
    <xf numFmtId="0" fontId="3" fillId="0" borderId="10" xfId="0" applyFont="1" applyBorder="1"/>
    <xf numFmtId="164" fontId="3" fillId="0" borderId="10" xfId="0" applyNumberFormat="1" applyFont="1" applyBorder="1"/>
    <xf numFmtId="0" fontId="1" fillId="2" borderId="15" xfId="0" applyFont="1" applyFill="1" applyBorder="1"/>
    <xf numFmtId="16" fontId="0" fillId="6" borderId="4" xfId="0" applyNumberFormat="1" applyFill="1" applyBorder="1"/>
    <xf numFmtId="0" fontId="1" fillId="2" borderId="16" xfId="0" applyFont="1" applyFill="1" applyBorder="1"/>
    <xf numFmtId="9" fontId="0" fillId="2" borderId="0" xfId="0" applyNumberFormat="1" applyFill="1"/>
    <xf numFmtId="0" fontId="2" fillId="2" borderId="0" xfId="0" applyFont="1" applyFill="1"/>
    <xf numFmtId="0" fontId="0" fillId="8" borderId="0" xfId="0" applyFill="1" applyAlignment="1">
      <alignment horizontal="center"/>
    </xf>
    <xf numFmtId="0" fontId="1" fillId="8" borderId="0" xfId="0" applyFont="1" applyFill="1"/>
    <xf numFmtId="0" fontId="3" fillId="0" borderId="0" xfId="0" applyFont="1" applyAlignment="1">
      <alignment horizontal="center" vertical="center" textRotation="90"/>
    </xf>
    <xf numFmtId="10" fontId="0" fillId="0" borderId="4" xfId="0" applyNumberFormat="1" applyBorder="1"/>
    <xf numFmtId="10" fontId="3" fillId="0" borderId="14" xfId="0" applyNumberFormat="1" applyFont="1" applyBorder="1"/>
    <xf numFmtId="10" fontId="0" fillId="0" borderId="12" xfId="0" applyNumberFormat="1" applyBorder="1"/>
    <xf numFmtId="9" fontId="0" fillId="0" borderId="4" xfId="0" applyNumberFormat="1" applyBorder="1"/>
    <xf numFmtId="0" fontId="0" fillId="0" borderId="13" xfId="0" applyBorder="1"/>
    <xf numFmtId="0" fontId="3" fillId="0" borderId="11" xfId="0" applyFont="1" applyBorder="1" applyAlignment="1">
      <alignment horizontal="center"/>
    </xf>
    <xf numFmtId="0" fontId="0" fillId="0" borderId="16" xfId="0" applyBorder="1"/>
    <xf numFmtId="9" fontId="0" fillId="0" borderId="16" xfId="0" applyNumberFormat="1" applyBorder="1"/>
    <xf numFmtId="9" fontId="0" fillId="0" borderId="9" xfId="0" applyNumberFormat="1" applyBorder="1"/>
    <xf numFmtId="164" fontId="3" fillId="0" borderId="14" xfId="0" applyNumberFormat="1" applyFont="1" applyBorder="1"/>
    <xf numFmtId="16" fontId="0" fillId="0" borderId="0" xfId="0" applyNumberFormat="1"/>
    <xf numFmtId="0" fontId="0" fillId="10" borderId="0" xfId="0" applyFill="1"/>
    <xf numFmtId="0" fontId="0" fillId="11" borderId="0" xfId="0" applyFill="1"/>
    <xf numFmtId="14" fontId="0" fillId="0" borderId="0" xfId="0" applyNumberFormat="1"/>
    <xf numFmtId="0" fontId="0" fillId="12" borderId="0" xfId="0" applyFill="1" applyAlignment="1">
      <alignment horizontal="center"/>
    </xf>
    <xf numFmtId="22" fontId="0" fillId="0" borderId="0" xfId="0" applyNumberFormat="1"/>
    <xf numFmtId="0" fontId="0" fillId="0" borderId="18" xfId="0" applyBorder="1"/>
    <xf numFmtId="0" fontId="1" fillId="2" borderId="19" xfId="0" applyFont="1" applyFill="1" applyBorder="1"/>
    <xf numFmtId="0" fontId="0" fillId="13" borderId="0" xfId="0" applyFill="1"/>
    <xf numFmtId="16" fontId="4" fillId="6" borderId="4" xfId="0" applyNumberFormat="1" applyFont="1" applyFill="1" applyBorder="1"/>
    <xf numFmtId="16" fontId="4" fillId="6" borderId="0" xfId="0" applyNumberFormat="1" applyFont="1" applyFill="1" applyAlignment="1">
      <alignment horizontal="center"/>
    </xf>
    <xf numFmtId="16" fontId="4" fillId="6" borderId="0" xfId="0" applyNumberFormat="1" applyFont="1" applyFill="1"/>
    <xf numFmtId="14" fontId="0" fillId="0" borderId="4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 wrapText="1"/>
    </xf>
    <xf numFmtId="3" fontId="0" fillId="0" borderId="4" xfId="0" applyNumberFormat="1" applyBorder="1" applyAlignment="1">
      <alignment vertical="center"/>
    </xf>
    <xf numFmtId="0" fontId="3" fillId="0" borderId="17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</cellXfs>
  <cellStyles count="1"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rgb="FF00B0F0"/>
      </font>
      <fill>
        <patternFill patternType="solid">
          <bgColor rgb="FF00B0F0"/>
        </patternFill>
      </fill>
    </dxf>
    <dxf>
      <font>
        <color rgb="FFFFC000"/>
      </font>
      <fill>
        <patternFill patternType="solid">
          <bgColor rgb="FFFFC000"/>
        </patternFill>
      </fill>
    </dxf>
    <dxf>
      <font>
        <color rgb="FF00B050"/>
      </font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FFD43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AF1C-8AAF-40B4-9B58-820A055D9EAC}">
  <dimension ref="A1:I296"/>
  <sheetViews>
    <sheetView zoomScale="90" workbookViewId="0">
      <selection activeCell="D12" sqref="D12"/>
    </sheetView>
  </sheetViews>
  <sheetFormatPr baseColWidth="10" defaultColWidth="8.85546875" defaultRowHeight="15" x14ac:dyDescent="0.25"/>
  <cols>
    <col min="1" max="1" width="66.42578125" customWidth="1"/>
    <col min="2" max="2" width="25.7109375" customWidth="1"/>
    <col min="3" max="4" width="11.42578125" bestFit="1" customWidth="1"/>
    <col min="5" max="5" width="53.85546875" bestFit="1" customWidth="1"/>
    <col min="6" max="6" width="34.140625" customWidth="1"/>
    <col min="7" max="7" width="11.7109375" customWidth="1"/>
    <col min="8" max="8" width="15.85546875" customWidth="1"/>
    <col min="9" max="9" width="9.5703125" bestFit="1" customWidth="1"/>
  </cols>
  <sheetData>
    <row r="1" spans="1:9" ht="14.45" customHeight="1" x14ac:dyDescent="0.25">
      <c r="E1" t="s">
        <v>0</v>
      </c>
      <c r="F1" s="57">
        <v>46122</v>
      </c>
      <c r="H1" s="57"/>
      <c r="I1" s="55"/>
    </row>
    <row r="3" spans="1:9" x14ac:dyDescent="0.2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</row>
    <row r="4" spans="1:9" s="53" customFormat="1" ht="20.25" customHeight="1" x14ac:dyDescent="0.25">
      <c r="A4" s="19" t="s">
        <v>9</v>
      </c>
      <c r="B4" s="64">
        <v>46018.375</v>
      </c>
      <c r="C4" s="64">
        <v>46021.75</v>
      </c>
      <c r="D4" s="19" t="s">
        <v>10</v>
      </c>
      <c r="E4" s="19" t="s">
        <v>11</v>
      </c>
      <c r="F4" s="19" t="s">
        <v>12</v>
      </c>
      <c r="G4" s="19"/>
      <c r="H4" s="65">
        <v>40</v>
      </c>
    </row>
    <row r="5" spans="1:9" s="53" customFormat="1" ht="14.45" x14ac:dyDescent="0.25">
      <c r="A5" s="19" t="s">
        <v>13</v>
      </c>
      <c r="B5" s="64">
        <v>46022.375</v>
      </c>
      <c r="C5" s="64">
        <v>46023.75</v>
      </c>
      <c r="D5" s="19" t="s">
        <v>10</v>
      </c>
      <c r="E5" s="19" t="s">
        <v>14</v>
      </c>
      <c r="F5" s="19" t="s">
        <v>15</v>
      </c>
      <c r="G5" s="19"/>
      <c r="H5" s="65">
        <v>80</v>
      </c>
    </row>
    <row r="6" spans="1:9" s="53" customFormat="1" ht="14.45" x14ac:dyDescent="0.25">
      <c r="A6" s="19" t="s">
        <v>13</v>
      </c>
      <c r="B6" s="64">
        <v>46022.375</v>
      </c>
      <c r="C6" s="64">
        <v>46023.75</v>
      </c>
      <c r="D6" s="19" t="s">
        <v>10</v>
      </c>
      <c r="E6" s="19" t="s">
        <v>14</v>
      </c>
      <c r="F6" s="19" t="s">
        <v>15</v>
      </c>
      <c r="G6" s="19"/>
      <c r="H6" s="65">
        <v>80</v>
      </c>
    </row>
    <row r="7" spans="1:9" s="53" customFormat="1" ht="18.75" customHeight="1" x14ac:dyDescent="0.25">
      <c r="A7" s="19" t="s">
        <v>16</v>
      </c>
      <c r="B7" s="64">
        <v>46018</v>
      </c>
      <c r="C7" s="64">
        <v>46018</v>
      </c>
      <c r="D7" s="19" t="s">
        <v>10</v>
      </c>
      <c r="E7" s="19"/>
      <c r="F7" s="19" t="s">
        <v>17</v>
      </c>
      <c r="G7" s="19"/>
      <c r="H7" s="65">
        <v>25</v>
      </c>
    </row>
    <row r="8" spans="1:9" s="53" customFormat="1" ht="21.75" customHeight="1" x14ac:dyDescent="0.25">
      <c r="A8" s="19" t="s">
        <v>9</v>
      </c>
      <c r="B8" s="64">
        <v>46018</v>
      </c>
      <c r="C8" s="64">
        <v>46021</v>
      </c>
      <c r="D8" s="19" t="s">
        <v>10</v>
      </c>
      <c r="E8" s="19" t="s">
        <v>11</v>
      </c>
      <c r="F8" s="19" t="s">
        <v>12</v>
      </c>
      <c r="G8" s="19"/>
      <c r="H8" s="65">
        <v>40</v>
      </c>
    </row>
    <row r="9" spans="1:9" s="53" customFormat="1" ht="14.45" x14ac:dyDescent="0.25">
      <c r="A9" s="19" t="s">
        <v>18</v>
      </c>
      <c r="B9" s="64">
        <v>46019</v>
      </c>
      <c r="C9" s="64">
        <v>46020</v>
      </c>
      <c r="D9" s="19" t="s">
        <v>10</v>
      </c>
      <c r="E9" s="19" t="s">
        <v>19</v>
      </c>
      <c r="F9" s="19" t="s">
        <v>20</v>
      </c>
      <c r="G9" s="19"/>
      <c r="H9" s="65">
        <v>750</v>
      </c>
    </row>
    <row r="10" spans="1:9" s="53" customFormat="1" ht="14.45" x14ac:dyDescent="0.25">
      <c r="A10" s="19" t="s">
        <v>13</v>
      </c>
      <c r="B10" s="64">
        <v>46022</v>
      </c>
      <c r="C10" s="64">
        <v>46023</v>
      </c>
      <c r="D10" s="19" t="s">
        <v>10</v>
      </c>
      <c r="E10" s="19"/>
      <c r="F10" s="19" t="s">
        <v>15</v>
      </c>
      <c r="G10" s="19"/>
      <c r="H10" s="65">
        <v>80</v>
      </c>
    </row>
    <row r="11" spans="1:9" s="53" customFormat="1" x14ac:dyDescent="0.25">
      <c r="A11" s="19" t="s">
        <v>21</v>
      </c>
      <c r="B11" s="64">
        <v>46025</v>
      </c>
      <c r="C11" s="64">
        <v>46028</v>
      </c>
      <c r="D11" s="19" t="s">
        <v>10</v>
      </c>
      <c r="E11" s="19" t="s">
        <v>11</v>
      </c>
      <c r="F11" s="19" t="s">
        <v>12</v>
      </c>
      <c r="G11" s="19"/>
      <c r="H11" s="65">
        <v>40</v>
      </c>
    </row>
    <row r="12" spans="1:9" s="53" customFormat="1" ht="14.25" customHeight="1" x14ac:dyDescent="0.25">
      <c r="A12" s="19" t="s">
        <v>9</v>
      </c>
      <c r="B12" s="64">
        <v>46029</v>
      </c>
      <c r="C12" s="64">
        <v>46032</v>
      </c>
      <c r="D12" s="19" t="s">
        <v>10</v>
      </c>
      <c r="E12" s="19" t="s">
        <v>11</v>
      </c>
      <c r="F12" s="19" t="s">
        <v>12</v>
      </c>
      <c r="G12" s="19"/>
      <c r="H12" s="65">
        <v>40</v>
      </c>
    </row>
    <row r="13" spans="1:9" s="53" customFormat="1" x14ac:dyDescent="0.25">
      <c r="A13" s="19" t="s">
        <v>22</v>
      </c>
      <c r="B13" s="64">
        <v>46030</v>
      </c>
      <c r="C13" s="64">
        <v>46030</v>
      </c>
      <c r="D13" s="19" t="s">
        <v>10</v>
      </c>
      <c r="E13" s="19" t="s">
        <v>23</v>
      </c>
      <c r="F13" s="19" t="s">
        <v>24</v>
      </c>
      <c r="G13" s="19"/>
      <c r="H13" s="65">
        <v>20</v>
      </c>
    </row>
    <row r="14" spans="1:9" s="53" customFormat="1" ht="17.25" customHeight="1" x14ac:dyDescent="0.25">
      <c r="A14" s="19" t="s">
        <v>25</v>
      </c>
      <c r="B14" s="64">
        <v>46031</v>
      </c>
      <c r="C14" s="64">
        <v>46031</v>
      </c>
      <c r="D14" s="19" t="s">
        <v>10</v>
      </c>
      <c r="E14" s="19" t="s">
        <v>26</v>
      </c>
      <c r="F14" s="19" t="s">
        <v>27</v>
      </c>
      <c r="G14" s="19"/>
      <c r="H14" s="65">
        <v>150</v>
      </c>
    </row>
    <row r="15" spans="1:9" s="53" customFormat="1" ht="17.25" customHeight="1" x14ac:dyDescent="0.25">
      <c r="A15" s="19" t="s">
        <v>16</v>
      </c>
      <c r="B15" s="64">
        <v>46037</v>
      </c>
      <c r="C15" s="64">
        <v>46037</v>
      </c>
      <c r="D15" s="19" t="s">
        <v>10</v>
      </c>
      <c r="E15" s="19"/>
      <c r="F15" s="19" t="s">
        <v>28</v>
      </c>
      <c r="G15" s="19"/>
      <c r="H15" s="65">
        <v>20</v>
      </c>
    </row>
    <row r="16" spans="1:9" s="53" customFormat="1" ht="15" customHeight="1" x14ac:dyDescent="0.25">
      <c r="A16" s="19" t="s">
        <v>16</v>
      </c>
      <c r="B16" s="64">
        <v>46042</v>
      </c>
      <c r="C16" s="64">
        <v>46043</v>
      </c>
      <c r="D16" s="19" t="s">
        <v>10</v>
      </c>
      <c r="E16" s="19"/>
      <c r="F16" s="19" t="s">
        <v>29</v>
      </c>
      <c r="G16" s="19"/>
      <c r="H16" s="65">
        <v>10</v>
      </c>
    </row>
    <row r="17" spans="1:8" s="53" customFormat="1" ht="15" customHeight="1" x14ac:dyDescent="0.25">
      <c r="A17" s="19" t="s">
        <v>30</v>
      </c>
      <c r="B17" s="64">
        <v>46044</v>
      </c>
      <c r="C17" s="64">
        <v>46044</v>
      </c>
      <c r="D17" s="19" t="s">
        <v>10</v>
      </c>
      <c r="E17" s="19" t="s">
        <v>31</v>
      </c>
      <c r="F17" s="19" t="s">
        <v>12</v>
      </c>
      <c r="G17" s="19"/>
      <c r="H17" s="65">
        <v>40</v>
      </c>
    </row>
    <row r="18" spans="1:8" s="53" customFormat="1" ht="14.45" x14ac:dyDescent="0.25">
      <c r="A18" s="19" t="s">
        <v>32</v>
      </c>
      <c r="B18" s="64">
        <v>46045</v>
      </c>
      <c r="C18" s="64">
        <v>46045</v>
      </c>
      <c r="D18" s="19" t="s">
        <v>10</v>
      </c>
      <c r="E18" s="19" t="s">
        <v>33</v>
      </c>
      <c r="F18" s="19" t="s">
        <v>27</v>
      </c>
      <c r="G18" s="19"/>
      <c r="H18" s="65">
        <v>100</v>
      </c>
    </row>
    <row r="19" spans="1:8" x14ac:dyDescent="0.25">
      <c r="A19" s="19" t="s">
        <v>30</v>
      </c>
      <c r="B19" s="64">
        <v>46048</v>
      </c>
      <c r="C19" s="64">
        <v>46049</v>
      </c>
      <c r="D19" s="19" t="s">
        <v>10</v>
      </c>
      <c r="E19" s="19" t="s">
        <v>34</v>
      </c>
      <c r="F19" s="19" t="s">
        <v>12</v>
      </c>
      <c r="G19" s="19"/>
      <c r="H19" s="65">
        <v>60</v>
      </c>
    </row>
    <row r="20" spans="1:8" ht="14.25" customHeight="1" x14ac:dyDescent="0.25">
      <c r="A20" s="19" t="s">
        <v>21</v>
      </c>
      <c r="B20" s="64">
        <v>46050</v>
      </c>
      <c r="C20" s="64">
        <v>46051</v>
      </c>
      <c r="D20" s="19" t="s">
        <v>10</v>
      </c>
      <c r="E20" s="19" t="s">
        <v>35</v>
      </c>
      <c r="F20" s="19" t="s">
        <v>12</v>
      </c>
      <c r="G20" s="19"/>
      <c r="H20" s="65">
        <v>30</v>
      </c>
    </row>
    <row r="21" spans="1:8" ht="15.75" customHeight="1" x14ac:dyDescent="0.25">
      <c r="A21" s="19" t="s">
        <v>16</v>
      </c>
      <c r="B21" s="64">
        <v>46053</v>
      </c>
      <c r="C21" s="64">
        <v>46053</v>
      </c>
      <c r="D21" s="19" t="s">
        <v>10</v>
      </c>
      <c r="E21" s="19" t="s">
        <v>36</v>
      </c>
      <c r="F21" s="19" t="s">
        <v>37</v>
      </c>
      <c r="G21" s="19"/>
      <c r="H21" s="65">
        <v>10</v>
      </c>
    </row>
    <row r="22" spans="1:8" ht="15.75" customHeight="1" x14ac:dyDescent="0.25">
      <c r="A22" s="19" t="s">
        <v>38</v>
      </c>
      <c r="B22" s="64">
        <v>46056</v>
      </c>
      <c r="C22" s="64">
        <v>46058</v>
      </c>
      <c r="D22" s="19" t="s">
        <v>10</v>
      </c>
      <c r="E22" s="66" t="s">
        <v>39</v>
      </c>
      <c r="F22" s="19" t="s">
        <v>40</v>
      </c>
      <c r="G22" s="19"/>
      <c r="H22" s="65"/>
    </row>
    <row r="23" spans="1:8" x14ac:dyDescent="0.25">
      <c r="A23" s="19" t="s">
        <v>41</v>
      </c>
      <c r="B23" s="64">
        <v>46057</v>
      </c>
      <c r="C23" s="64">
        <v>46057</v>
      </c>
      <c r="D23" s="19" t="s">
        <v>42</v>
      </c>
      <c r="E23" s="19" t="s">
        <v>43</v>
      </c>
      <c r="F23" s="19" t="s">
        <v>15</v>
      </c>
      <c r="G23" s="19"/>
      <c r="H23" s="65">
        <v>6</v>
      </c>
    </row>
    <row r="24" spans="1:8" ht="19.5" customHeight="1" x14ac:dyDescent="0.25">
      <c r="A24" s="19" t="s">
        <v>44</v>
      </c>
      <c r="B24" s="64">
        <v>46058</v>
      </c>
      <c r="C24" s="64">
        <v>46058</v>
      </c>
      <c r="D24" s="19" t="s">
        <v>45</v>
      </c>
      <c r="E24" s="19" t="s">
        <v>46</v>
      </c>
      <c r="F24" s="19" t="s">
        <v>47</v>
      </c>
      <c r="G24" s="19"/>
      <c r="H24" s="65">
        <v>3</v>
      </c>
    </row>
    <row r="25" spans="1:8" ht="14.25" customHeight="1" x14ac:dyDescent="0.25">
      <c r="A25" s="19" t="s">
        <v>21</v>
      </c>
      <c r="B25" s="64">
        <v>46059</v>
      </c>
      <c r="C25" s="64">
        <v>46060</v>
      </c>
      <c r="D25" s="19" t="s">
        <v>10</v>
      </c>
      <c r="E25" s="19" t="s">
        <v>48</v>
      </c>
      <c r="F25" s="19" t="s">
        <v>12</v>
      </c>
      <c r="G25" s="19"/>
      <c r="H25" s="65">
        <v>30</v>
      </c>
    </row>
    <row r="26" spans="1:8" ht="30" x14ac:dyDescent="0.25">
      <c r="A26" s="19" t="s">
        <v>41</v>
      </c>
      <c r="B26" s="64">
        <v>46064</v>
      </c>
      <c r="C26" s="64">
        <v>46064</v>
      </c>
      <c r="D26" s="19" t="s">
        <v>10</v>
      </c>
      <c r="E26" s="66" t="s">
        <v>49</v>
      </c>
      <c r="F26" s="19" t="s">
        <v>15</v>
      </c>
      <c r="G26" s="19"/>
      <c r="H26" s="65">
        <v>10</v>
      </c>
    </row>
    <row r="27" spans="1:8" x14ac:dyDescent="0.25">
      <c r="A27" s="19" t="s">
        <v>9</v>
      </c>
      <c r="B27" s="64">
        <v>46065</v>
      </c>
      <c r="C27" s="64">
        <v>46065</v>
      </c>
      <c r="D27" s="19" t="s">
        <v>10</v>
      </c>
      <c r="E27" s="19" t="s">
        <v>50</v>
      </c>
      <c r="F27" s="19" t="s">
        <v>51</v>
      </c>
      <c r="G27" s="19"/>
      <c r="H27" s="65">
        <v>20</v>
      </c>
    </row>
    <row r="28" spans="1:8" ht="15.75" customHeight="1" x14ac:dyDescent="0.25">
      <c r="A28" s="19" t="s">
        <v>52</v>
      </c>
      <c r="B28" s="64">
        <v>46065</v>
      </c>
      <c r="C28" s="64">
        <v>46065</v>
      </c>
      <c r="D28" s="19" t="s">
        <v>10</v>
      </c>
      <c r="E28" s="19" t="s">
        <v>53</v>
      </c>
      <c r="F28" s="19" t="s">
        <v>54</v>
      </c>
      <c r="G28" s="19">
        <v>563</v>
      </c>
      <c r="H28" s="65">
        <v>200</v>
      </c>
    </row>
    <row r="29" spans="1:8" s="2" customFormat="1" ht="15.75" customHeight="1" x14ac:dyDescent="0.25">
      <c r="A29" s="19" t="s">
        <v>55</v>
      </c>
      <c r="B29" s="64">
        <v>46066</v>
      </c>
      <c r="C29" s="64">
        <v>46067</v>
      </c>
      <c r="D29" s="19" t="s">
        <v>10</v>
      </c>
      <c r="E29" s="19"/>
      <c r="F29" s="19" t="s">
        <v>56</v>
      </c>
      <c r="G29" s="19"/>
      <c r="H29" s="65">
        <v>42</v>
      </c>
    </row>
    <row r="30" spans="1:8" ht="15.75" customHeight="1" x14ac:dyDescent="0.25">
      <c r="A30" s="19" t="s">
        <v>9</v>
      </c>
      <c r="B30" s="64">
        <v>46067</v>
      </c>
      <c r="C30" s="64">
        <v>46067</v>
      </c>
      <c r="D30" s="19" t="s">
        <v>10</v>
      </c>
      <c r="E30" s="19" t="s">
        <v>57</v>
      </c>
      <c r="F30" s="19" t="s">
        <v>15</v>
      </c>
      <c r="G30" s="19"/>
      <c r="H30" s="65">
        <v>20</v>
      </c>
    </row>
    <row r="31" spans="1:8" ht="12.75" customHeight="1" x14ac:dyDescent="0.25">
      <c r="A31" s="19" t="s">
        <v>58</v>
      </c>
      <c r="B31" s="64">
        <v>46067</v>
      </c>
      <c r="C31" s="64">
        <v>46067</v>
      </c>
      <c r="D31" s="19" t="s">
        <v>10</v>
      </c>
      <c r="E31" s="19" t="s">
        <v>59</v>
      </c>
      <c r="F31" s="19" t="s">
        <v>15</v>
      </c>
      <c r="G31" s="19"/>
      <c r="H31" s="65">
        <v>20</v>
      </c>
    </row>
    <row r="32" spans="1:8" ht="14.25" customHeight="1" x14ac:dyDescent="0.25">
      <c r="A32" s="19" t="s">
        <v>52</v>
      </c>
      <c r="B32" s="64">
        <v>46068</v>
      </c>
      <c r="C32" s="64">
        <v>46068</v>
      </c>
      <c r="D32" s="19" t="s">
        <v>10</v>
      </c>
      <c r="E32" s="19" t="s">
        <v>60</v>
      </c>
      <c r="F32" s="19" t="s">
        <v>61</v>
      </c>
      <c r="G32" s="19">
        <v>0</v>
      </c>
      <c r="H32" s="65">
        <v>180</v>
      </c>
    </row>
    <row r="33" spans="1:8" s="2" customFormat="1" ht="12.75" customHeight="1" x14ac:dyDescent="0.25">
      <c r="A33" s="19" t="s">
        <v>9</v>
      </c>
      <c r="B33" s="64">
        <v>46072</v>
      </c>
      <c r="C33" s="64">
        <v>46072</v>
      </c>
      <c r="D33" s="19" t="s">
        <v>10</v>
      </c>
      <c r="E33" s="19" t="s">
        <v>62</v>
      </c>
      <c r="F33" s="19" t="s">
        <v>63</v>
      </c>
      <c r="G33" s="19"/>
      <c r="H33" s="65">
        <v>30</v>
      </c>
    </row>
    <row r="34" spans="1:8" ht="15" customHeight="1" x14ac:dyDescent="0.25">
      <c r="A34" s="19" t="s">
        <v>64</v>
      </c>
      <c r="B34" s="64">
        <v>46076</v>
      </c>
      <c r="C34" s="64">
        <v>46077</v>
      </c>
      <c r="D34" s="19" t="s">
        <v>10</v>
      </c>
      <c r="E34" s="19" t="s">
        <v>65</v>
      </c>
      <c r="F34" s="19" t="s">
        <v>12</v>
      </c>
      <c r="G34" s="19"/>
      <c r="H34" s="65">
        <v>30</v>
      </c>
    </row>
    <row r="35" spans="1:8" ht="14.45" x14ac:dyDescent="0.25">
      <c r="A35" s="19" t="s">
        <v>16</v>
      </c>
      <c r="B35" s="64">
        <v>46079</v>
      </c>
      <c r="C35" s="64">
        <v>46080</v>
      </c>
      <c r="D35" s="19" t="s">
        <v>10</v>
      </c>
      <c r="E35" s="19"/>
      <c r="F35" s="19" t="s">
        <v>66</v>
      </c>
      <c r="G35" s="19"/>
      <c r="H35" s="65">
        <v>20</v>
      </c>
    </row>
    <row r="36" spans="1:8" x14ac:dyDescent="0.25">
      <c r="A36" s="19" t="s">
        <v>22</v>
      </c>
      <c r="B36" s="64">
        <v>46079</v>
      </c>
      <c r="C36" s="64">
        <v>46079</v>
      </c>
      <c r="D36" s="19" t="s">
        <v>10</v>
      </c>
      <c r="E36" s="19"/>
      <c r="F36" s="19" t="s">
        <v>67</v>
      </c>
      <c r="G36" s="19"/>
      <c r="H36" s="65">
        <v>25</v>
      </c>
    </row>
    <row r="37" spans="1:8" ht="12.75" customHeight="1" x14ac:dyDescent="0.25">
      <c r="A37" s="19" t="s">
        <v>21</v>
      </c>
      <c r="B37" s="64">
        <v>46080</v>
      </c>
      <c r="C37" s="64">
        <v>46084</v>
      </c>
      <c r="D37" s="19" t="s">
        <v>10</v>
      </c>
      <c r="E37" s="66" t="s">
        <v>68</v>
      </c>
      <c r="F37" s="19" t="s">
        <v>69</v>
      </c>
      <c r="G37" s="19"/>
      <c r="H37" s="65">
        <v>33</v>
      </c>
    </row>
    <row r="38" spans="1:8" x14ac:dyDescent="0.25">
      <c r="A38" s="19" t="s">
        <v>70</v>
      </c>
      <c r="B38" s="64">
        <v>46080</v>
      </c>
      <c r="C38" s="64">
        <v>46081</v>
      </c>
      <c r="D38" s="19" t="s">
        <v>10</v>
      </c>
      <c r="E38" s="19"/>
      <c r="F38" s="19" t="s">
        <v>71</v>
      </c>
      <c r="G38" s="19"/>
      <c r="H38" s="65">
        <v>47</v>
      </c>
    </row>
    <row r="39" spans="1:8" x14ac:dyDescent="0.25">
      <c r="A39" s="19" t="s">
        <v>21</v>
      </c>
      <c r="B39" s="64">
        <v>46080</v>
      </c>
      <c r="C39" s="64">
        <v>46080</v>
      </c>
      <c r="D39" s="19" t="s">
        <v>10</v>
      </c>
      <c r="E39" s="19" t="s">
        <v>72</v>
      </c>
      <c r="F39" s="19" t="s">
        <v>73</v>
      </c>
      <c r="G39" s="19">
        <v>400</v>
      </c>
      <c r="H39" s="65">
        <v>100</v>
      </c>
    </row>
    <row r="40" spans="1:8" ht="14.45" x14ac:dyDescent="0.25">
      <c r="A40" s="19" t="s">
        <v>9</v>
      </c>
      <c r="B40" s="64">
        <v>46084</v>
      </c>
      <c r="C40" s="64">
        <v>46085</v>
      </c>
      <c r="D40" s="19" t="s">
        <v>10</v>
      </c>
      <c r="E40" s="19"/>
      <c r="F40" s="19" t="s">
        <v>74</v>
      </c>
      <c r="G40" s="19">
        <v>105</v>
      </c>
      <c r="H40" s="65">
        <v>15</v>
      </c>
    </row>
    <row r="41" spans="1:8" ht="14.25" customHeight="1" x14ac:dyDescent="0.25">
      <c r="A41" s="19" t="s">
        <v>16</v>
      </c>
      <c r="B41" s="64">
        <v>46085</v>
      </c>
      <c r="C41" s="64">
        <v>46085</v>
      </c>
      <c r="D41" s="19" t="s">
        <v>10</v>
      </c>
      <c r="E41" s="19"/>
      <c r="F41" s="19" t="s">
        <v>75</v>
      </c>
      <c r="G41" s="19"/>
      <c r="H41" s="65">
        <v>15</v>
      </c>
    </row>
    <row r="42" spans="1:8" ht="15.75" customHeight="1" x14ac:dyDescent="0.25">
      <c r="A42" s="19" t="s">
        <v>76</v>
      </c>
      <c r="B42" s="64">
        <v>46086</v>
      </c>
      <c r="C42" s="64">
        <v>46087</v>
      </c>
      <c r="D42" s="19" t="s">
        <v>10</v>
      </c>
      <c r="E42" s="19" t="s">
        <v>77</v>
      </c>
      <c r="F42" s="19" t="s">
        <v>78</v>
      </c>
      <c r="G42" s="19"/>
      <c r="H42" s="65">
        <v>15</v>
      </c>
    </row>
    <row r="43" spans="1:8" ht="14.45" x14ac:dyDescent="0.25">
      <c r="A43" s="19" t="s">
        <v>16</v>
      </c>
      <c r="B43" s="64">
        <v>46087</v>
      </c>
      <c r="C43" s="64">
        <v>46087</v>
      </c>
      <c r="D43" s="19" t="s">
        <v>10</v>
      </c>
      <c r="E43" s="19" t="s">
        <v>79</v>
      </c>
      <c r="F43" s="19" t="s">
        <v>17</v>
      </c>
      <c r="G43" s="19"/>
      <c r="H43" s="65">
        <v>17</v>
      </c>
    </row>
    <row r="44" spans="1:8" ht="19.5" customHeight="1" x14ac:dyDescent="0.25">
      <c r="A44" s="19" t="s">
        <v>80</v>
      </c>
      <c r="B44" s="64">
        <v>46087</v>
      </c>
      <c r="C44" s="64">
        <v>46087</v>
      </c>
      <c r="D44" s="19" t="s">
        <v>10</v>
      </c>
      <c r="E44" s="19" t="s">
        <v>81</v>
      </c>
      <c r="F44" s="19" t="s">
        <v>82</v>
      </c>
      <c r="G44" s="19"/>
      <c r="H44" s="65">
        <v>30</v>
      </c>
    </row>
    <row r="45" spans="1:8" x14ac:dyDescent="0.25">
      <c r="A45" s="19" t="s">
        <v>83</v>
      </c>
      <c r="B45" s="64">
        <v>46088</v>
      </c>
      <c r="C45" s="64">
        <v>46092</v>
      </c>
      <c r="D45" s="19" t="s">
        <v>10</v>
      </c>
      <c r="E45" s="19" t="s">
        <v>84</v>
      </c>
      <c r="F45" s="19" t="s">
        <v>85</v>
      </c>
      <c r="G45" s="19"/>
      <c r="H45" s="65">
        <v>200</v>
      </c>
    </row>
    <row r="46" spans="1:8" ht="14.45" x14ac:dyDescent="0.25">
      <c r="A46" s="19" t="s">
        <v>9</v>
      </c>
      <c r="B46" s="64">
        <v>46091</v>
      </c>
      <c r="C46" s="64">
        <v>46093</v>
      </c>
      <c r="D46" s="19" t="s">
        <v>10</v>
      </c>
      <c r="E46" s="19" t="s">
        <v>86</v>
      </c>
      <c r="F46" s="19" t="s">
        <v>15</v>
      </c>
      <c r="G46" s="19"/>
      <c r="H46" s="65"/>
    </row>
    <row r="47" spans="1:8" ht="17.25" customHeight="1" x14ac:dyDescent="0.25">
      <c r="A47" s="19" t="s">
        <v>16</v>
      </c>
      <c r="B47" s="64">
        <v>46091</v>
      </c>
      <c r="C47" s="64">
        <v>46091</v>
      </c>
      <c r="D47" s="19" t="s">
        <v>10</v>
      </c>
      <c r="E47" s="19" t="s">
        <v>87</v>
      </c>
      <c r="F47" s="19" t="s">
        <v>88</v>
      </c>
      <c r="G47" s="19"/>
      <c r="H47" s="65">
        <v>20</v>
      </c>
    </row>
    <row r="48" spans="1:8" ht="14.25" customHeight="1" x14ac:dyDescent="0.25">
      <c r="A48" s="19" t="s">
        <v>44</v>
      </c>
      <c r="B48" s="64">
        <v>46092</v>
      </c>
      <c r="C48" s="64">
        <v>46092</v>
      </c>
      <c r="D48" s="19" t="s">
        <v>45</v>
      </c>
      <c r="E48" s="19"/>
      <c r="F48" s="19" t="s">
        <v>89</v>
      </c>
      <c r="G48" s="19"/>
      <c r="H48" s="65">
        <v>7</v>
      </c>
    </row>
    <row r="49" spans="1:8" ht="15.75" customHeight="1" x14ac:dyDescent="0.25">
      <c r="A49" s="19" t="s">
        <v>90</v>
      </c>
      <c r="B49" s="64">
        <v>46093</v>
      </c>
      <c r="C49" s="64">
        <v>46093</v>
      </c>
      <c r="D49" s="19" t="s">
        <v>10</v>
      </c>
      <c r="E49" s="19"/>
      <c r="F49" s="19" t="s">
        <v>47</v>
      </c>
      <c r="G49" s="19"/>
      <c r="H49" s="65">
        <v>20</v>
      </c>
    </row>
    <row r="50" spans="1:8" ht="14.45" x14ac:dyDescent="0.25">
      <c r="A50" s="19" t="s">
        <v>22</v>
      </c>
      <c r="B50" s="64">
        <v>46093</v>
      </c>
      <c r="C50" s="64">
        <v>46093</v>
      </c>
      <c r="D50" s="19" t="s">
        <v>10</v>
      </c>
      <c r="E50" s="19"/>
      <c r="F50" s="19" t="s">
        <v>85</v>
      </c>
      <c r="G50" s="19"/>
      <c r="H50" s="65">
        <v>30</v>
      </c>
    </row>
    <row r="51" spans="1:8" x14ac:dyDescent="0.25">
      <c r="A51" s="19" t="s">
        <v>16</v>
      </c>
      <c r="B51" s="64">
        <v>46093</v>
      </c>
      <c r="C51" s="64">
        <v>46093</v>
      </c>
      <c r="D51" s="19" t="s">
        <v>10</v>
      </c>
      <c r="E51" s="19" t="s">
        <v>91</v>
      </c>
      <c r="F51" s="19" t="s">
        <v>15</v>
      </c>
      <c r="G51" s="19"/>
      <c r="H51" s="65">
        <v>8</v>
      </c>
    </row>
    <row r="52" spans="1:8" x14ac:dyDescent="0.25">
      <c r="A52" s="19" t="s">
        <v>44</v>
      </c>
      <c r="B52" s="64">
        <v>46093</v>
      </c>
      <c r="C52" s="64">
        <v>46093</v>
      </c>
      <c r="D52" s="19" t="s">
        <v>10</v>
      </c>
      <c r="E52" s="19" t="s">
        <v>92</v>
      </c>
      <c r="F52" s="19" t="s">
        <v>93</v>
      </c>
      <c r="G52" s="19"/>
      <c r="H52" s="65">
        <v>3</v>
      </c>
    </row>
    <row r="53" spans="1:8" x14ac:dyDescent="0.25">
      <c r="A53" s="19" t="s">
        <v>41</v>
      </c>
      <c r="B53" s="64">
        <v>46094</v>
      </c>
      <c r="C53" s="64">
        <v>46094</v>
      </c>
      <c r="D53" s="19" t="s">
        <v>42</v>
      </c>
      <c r="E53" s="19" t="s">
        <v>94</v>
      </c>
      <c r="F53" s="19" t="s">
        <v>15</v>
      </c>
      <c r="G53" s="19"/>
      <c r="H53" s="65">
        <v>9</v>
      </c>
    </row>
    <row r="54" spans="1:8" x14ac:dyDescent="0.25">
      <c r="A54" s="19" t="s">
        <v>21</v>
      </c>
      <c r="B54" s="64">
        <v>46095</v>
      </c>
      <c r="C54" s="64">
        <v>46096</v>
      </c>
      <c r="D54" s="19" t="s">
        <v>10</v>
      </c>
      <c r="E54" s="19" t="s">
        <v>95</v>
      </c>
      <c r="F54" s="19" t="s">
        <v>12</v>
      </c>
      <c r="G54" s="19"/>
      <c r="H54" s="65">
        <v>30</v>
      </c>
    </row>
    <row r="55" spans="1:8" ht="14.45" x14ac:dyDescent="0.25">
      <c r="A55" s="19" t="s">
        <v>44</v>
      </c>
      <c r="B55" s="64">
        <v>46097</v>
      </c>
      <c r="C55" s="64">
        <v>46098</v>
      </c>
      <c r="D55" s="19" t="s">
        <v>10</v>
      </c>
      <c r="E55" s="19" t="s">
        <v>96</v>
      </c>
      <c r="F55" s="19" t="s">
        <v>97</v>
      </c>
      <c r="G55" s="19"/>
      <c r="H55" s="65">
        <v>5</v>
      </c>
    </row>
    <row r="56" spans="1:8" ht="14.45" x14ac:dyDescent="0.25">
      <c r="A56" s="19" t="s">
        <v>98</v>
      </c>
      <c r="B56" s="64">
        <v>46097</v>
      </c>
      <c r="C56" s="64">
        <v>46097</v>
      </c>
      <c r="D56" s="19" t="s">
        <v>45</v>
      </c>
      <c r="E56" s="19" t="s">
        <v>99</v>
      </c>
      <c r="F56" s="19" t="s">
        <v>100</v>
      </c>
      <c r="G56" s="19"/>
      <c r="H56" s="65">
        <v>25</v>
      </c>
    </row>
    <row r="57" spans="1:8" ht="14.45" x14ac:dyDescent="0.25">
      <c r="A57" s="19" t="s">
        <v>101</v>
      </c>
      <c r="B57" s="64">
        <v>46098</v>
      </c>
      <c r="C57" s="64">
        <v>46100</v>
      </c>
      <c r="D57" s="19" t="s">
        <v>10</v>
      </c>
      <c r="E57" s="19" t="s">
        <v>102</v>
      </c>
      <c r="F57" s="19" t="s">
        <v>103</v>
      </c>
      <c r="G57" s="19">
        <v>20000</v>
      </c>
      <c r="H57" s="65">
        <v>600</v>
      </c>
    </row>
    <row r="58" spans="1:8" x14ac:dyDescent="0.25">
      <c r="A58" s="19" t="s">
        <v>16</v>
      </c>
      <c r="B58" s="64">
        <v>46098</v>
      </c>
      <c r="C58" s="64">
        <v>46098</v>
      </c>
      <c r="D58" s="19" t="s">
        <v>10</v>
      </c>
      <c r="E58" s="19" t="s">
        <v>104</v>
      </c>
      <c r="F58" s="19" t="s">
        <v>15</v>
      </c>
      <c r="G58" s="19"/>
      <c r="H58" s="65">
        <v>12</v>
      </c>
    </row>
    <row r="59" spans="1:8" ht="14.45" x14ac:dyDescent="0.25">
      <c r="A59" s="19" t="s">
        <v>25</v>
      </c>
      <c r="B59" s="64">
        <v>46099</v>
      </c>
      <c r="C59" s="64">
        <v>46100</v>
      </c>
      <c r="D59" s="19" t="s">
        <v>42</v>
      </c>
      <c r="E59" s="19" t="s">
        <v>105</v>
      </c>
      <c r="F59" s="19" t="s">
        <v>106</v>
      </c>
      <c r="G59" s="19"/>
      <c r="H59" s="65">
        <v>40</v>
      </c>
    </row>
    <row r="60" spans="1:8" ht="14.45" x14ac:dyDescent="0.25">
      <c r="A60" s="19" t="s">
        <v>21</v>
      </c>
      <c r="B60" s="64">
        <v>46099</v>
      </c>
      <c r="C60" s="64">
        <v>46099</v>
      </c>
      <c r="D60" s="19" t="s">
        <v>10</v>
      </c>
      <c r="E60" s="19" t="s">
        <v>107</v>
      </c>
      <c r="F60" s="19" t="s">
        <v>108</v>
      </c>
      <c r="G60" s="19"/>
      <c r="H60" s="65">
        <v>40</v>
      </c>
    </row>
    <row r="61" spans="1:8" s="60" customFormat="1" x14ac:dyDescent="0.25">
      <c r="A61" s="19" t="s">
        <v>16</v>
      </c>
      <c r="B61" s="64">
        <v>46099</v>
      </c>
      <c r="C61" s="64">
        <v>46099</v>
      </c>
      <c r="D61" s="19" t="s">
        <v>10</v>
      </c>
      <c r="E61" s="19" t="s">
        <v>104</v>
      </c>
      <c r="F61" s="19" t="s">
        <v>15</v>
      </c>
      <c r="G61" s="19"/>
      <c r="H61" s="65">
        <v>13</v>
      </c>
    </row>
    <row r="62" spans="1:8" s="60" customFormat="1" ht="14.45" x14ac:dyDescent="0.25">
      <c r="A62" s="19" t="s">
        <v>109</v>
      </c>
      <c r="B62" s="64">
        <v>46099</v>
      </c>
      <c r="C62" s="64">
        <v>46099</v>
      </c>
      <c r="D62" s="19" t="s">
        <v>10</v>
      </c>
      <c r="E62" s="19" t="s">
        <v>110</v>
      </c>
      <c r="F62" s="19" t="s">
        <v>103</v>
      </c>
      <c r="G62" s="19"/>
      <c r="H62" s="65">
        <v>300</v>
      </c>
    </row>
    <row r="63" spans="1:8" s="60" customFormat="1" x14ac:dyDescent="0.25">
      <c r="A63" s="19" t="s">
        <v>21</v>
      </c>
      <c r="B63" s="64">
        <v>46100</v>
      </c>
      <c r="C63" s="64">
        <v>46100</v>
      </c>
      <c r="D63" s="19" t="s">
        <v>42</v>
      </c>
      <c r="E63" s="19" t="s">
        <v>111</v>
      </c>
      <c r="F63" s="19" t="s">
        <v>112</v>
      </c>
      <c r="G63" s="19"/>
      <c r="H63" s="65">
        <v>26</v>
      </c>
    </row>
    <row r="64" spans="1:8" s="60" customFormat="1" ht="30" x14ac:dyDescent="0.25">
      <c r="A64" s="19" t="s">
        <v>16</v>
      </c>
      <c r="B64" s="64">
        <v>46100</v>
      </c>
      <c r="C64" s="64">
        <v>46100</v>
      </c>
      <c r="D64" s="19" t="s">
        <v>42</v>
      </c>
      <c r="E64" s="66" t="s">
        <v>113</v>
      </c>
      <c r="F64" s="19" t="s">
        <v>15</v>
      </c>
      <c r="G64" s="19"/>
      <c r="H64" s="65">
        <v>8</v>
      </c>
    </row>
    <row r="65" spans="1:8" x14ac:dyDescent="0.25">
      <c r="A65" s="19" t="s">
        <v>16</v>
      </c>
      <c r="B65" s="64">
        <v>46100</v>
      </c>
      <c r="C65" s="64">
        <v>46100</v>
      </c>
      <c r="D65" s="19" t="s">
        <v>10</v>
      </c>
      <c r="E65" s="19" t="s">
        <v>114</v>
      </c>
      <c r="F65" s="19" t="s">
        <v>15</v>
      </c>
      <c r="G65" s="19"/>
      <c r="H65" s="65">
        <v>10</v>
      </c>
    </row>
    <row r="66" spans="1:8" s="60" customFormat="1" x14ac:dyDescent="0.25">
      <c r="A66" s="19" t="s">
        <v>16</v>
      </c>
      <c r="B66" s="64">
        <v>46100</v>
      </c>
      <c r="C66" s="64">
        <v>46100</v>
      </c>
      <c r="D66" s="19" t="s">
        <v>10</v>
      </c>
      <c r="E66" s="19"/>
      <c r="F66" s="19" t="s">
        <v>82</v>
      </c>
      <c r="G66" s="19"/>
      <c r="H66" s="65">
        <v>10</v>
      </c>
    </row>
    <row r="67" spans="1:8" x14ac:dyDescent="0.25">
      <c r="A67" s="19" t="s">
        <v>21</v>
      </c>
      <c r="B67" s="64">
        <v>46101</v>
      </c>
      <c r="C67" s="64">
        <v>46102</v>
      </c>
      <c r="D67" s="19" t="s">
        <v>10</v>
      </c>
      <c r="E67" s="19" t="s">
        <v>115</v>
      </c>
      <c r="F67" s="19" t="s">
        <v>12</v>
      </c>
      <c r="G67" s="19"/>
      <c r="H67" s="65">
        <v>30</v>
      </c>
    </row>
    <row r="68" spans="1:8" ht="14.45" x14ac:dyDescent="0.25">
      <c r="A68" s="19" t="s">
        <v>90</v>
      </c>
      <c r="B68" s="64">
        <v>46101</v>
      </c>
      <c r="C68" s="64">
        <v>46104</v>
      </c>
      <c r="D68" s="19" t="s">
        <v>10</v>
      </c>
      <c r="E68" s="19" t="s">
        <v>116</v>
      </c>
      <c r="F68" s="19" t="s">
        <v>117</v>
      </c>
      <c r="G68" s="19">
        <v>0</v>
      </c>
      <c r="H68" s="65"/>
    </row>
    <row r="69" spans="1:8" x14ac:dyDescent="0.25">
      <c r="A69" s="19" t="s">
        <v>16</v>
      </c>
      <c r="B69" s="64">
        <v>46101</v>
      </c>
      <c r="C69" s="64">
        <v>46101</v>
      </c>
      <c r="D69" s="19" t="s">
        <v>10</v>
      </c>
      <c r="E69" s="19" t="s">
        <v>118</v>
      </c>
      <c r="F69" s="19" t="s">
        <v>15</v>
      </c>
      <c r="G69" s="19"/>
      <c r="H69" s="65">
        <v>10</v>
      </c>
    </row>
    <row r="70" spans="1:8" x14ac:dyDescent="0.25">
      <c r="A70" s="19"/>
      <c r="B70" s="64">
        <v>46101</v>
      </c>
      <c r="C70" s="64">
        <v>46102</v>
      </c>
      <c r="D70" s="19" t="s">
        <v>10</v>
      </c>
      <c r="E70" s="19" t="s">
        <v>119</v>
      </c>
      <c r="F70" s="19" t="s">
        <v>15</v>
      </c>
      <c r="G70" s="19"/>
      <c r="H70" s="65">
        <v>13</v>
      </c>
    </row>
    <row r="71" spans="1:8" s="60" customFormat="1" x14ac:dyDescent="0.25">
      <c r="A71" s="19" t="s">
        <v>16</v>
      </c>
      <c r="B71" s="64">
        <v>46102</v>
      </c>
      <c r="C71" s="64">
        <v>46102</v>
      </c>
      <c r="D71" s="19" t="s">
        <v>10</v>
      </c>
      <c r="E71" s="19"/>
      <c r="F71" s="19" t="s">
        <v>82</v>
      </c>
      <c r="G71" s="19"/>
      <c r="H71" s="65">
        <v>10</v>
      </c>
    </row>
    <row r="72" spans="1:8" s="60" customFormat="1" ht="14.45" x14ac:dyDescent="0.25">
      <c r="A72" s="19" t="s">
        <v>9</v>
      </c>
      <c r="B72" s="64">
        <v>46102</v>
      </c>
      <c r="C72" s="64">
        <v>46102</v>
      </c>
      <c r="D72" s="19" t="s">
        <v>10</v>
      </c>
      <c r="E72" s="19" t="s">
        <v>120</v>
      </c>
      <c r="F72" s="19" t="s">
        <v>121</v>
      </c>
      <c r="G72" s="19"/>
      <c r="H72" s="65">
        <v>15</v>
      </c>
    </row>
    <row r="73" spans="1:8" x14ac:dyDescent="0.25">
      <c r="A73" s="19" t="s">
        <v>122</v>
      </c>
      <c r="B73" s="64">
        <v>46104</v>
      </c>
      <c r="C73" s="64">
        <v>46104</v>
      </c>
      <c r="D73" s="19" t="s">
        <v>10</v>
      </c>
      <c r="E73" s="19" t="s">
        <v>123</v>
      </c>
      <c r="F73" s="19" t="s">
        <v>124</v>
      </c>
      <c r="G73" s="19">
        <v>1403</v>
      </c>
      <c r="H73" s="65">
        <v>500</v>
      </c>
    </row>
    <row r="74" spans="1:8" x14ac:dyDescent="0.25">
      <c r="A74" s="19" t="s">
        <v>16</v>
      </c>
      <c r="B74" s="64">
        <v>46104</v>
      </c>
      <c r="C74" s="64">
        <v>46104</v>
      </c>
      <c r="D74" s="19" t="s">
        <v>10</v>
      </c>
      <c r="E74" s="19" t="s">
        <v>118</v>
      </c>
      <c r="F74" s="19" t="s">
        <v>15</v>
      </c>
      <c r="G74" s="19"/>
      <c r="H74" s="65">
        <v>13</v>
      </c>
    </row>
    <row r="75" spans="1:8" x14ac:dyDescent="0.25">
      <c r="A75" s="19"/>
      <c r="B75" s="64">
        <v>46104</v>
      </c>
      <c r="C75" s="64">
        <v>46106</v>
      </c>
      <c r="D75" s="19" t="s">
        <v>10</v>
      </c>
      <c r="E75" s="19" t="s">
        <v>125</v>
      </c>
      <c r="F75" s="19" t="s">
        <v>15</v>
      </c>
      <c r="G75" s="19"/>
      <c r="H75" s="65">
        <v>8</v>
      </c>
    </row>
    <row r="76" spans="1:8" s="54" customFormat="1" ht="14.45" x14ac:dyDescent="0.25">
      <c r="A76" s="19" t="s">
        <v>126</v>
      </c>
      <c r="B76" s="64">
        <v>46105</v>
      </c>
      <c r="C76" s="64">
        <v>46108</v>
      </c>
      <c r="D76" s="19" t="s">
        <v>10</v>
      </c>
      <c r="E76" s="19" t="s">
        <v>127</v>
      </c>
      <c r="F76" s="19" t="s">
        <v>128</v>
      </c>
      <c r="G76" s="19">
        <v>20840</v>
      </c>
      <c r="H76" s="65">
        <v>450</v>
      </c>
    </row>
    <row r="77" spans="1:8" s="54" customFormat="1" ht="14.45" x14ac:dyDescent="0.25">
      <c r="A77" s="19"/>
      <c r="B77" s="64">
        <v>46105</v>
      </c>
      <c r="C77" s="64">
        <v>46105</v>
      </c>
      <c r="D77" s="19" t="s">
        <v>10</v>
      </c>
      <c r="E77" s="19" t="s">
        <v>86</v>
      </c>
      <c r="F77" s="19" t="s">
        <v>15</v>
      </c>
      <c r="G77" s="19"/>
      <c r="H77" s="65"/>
    </row>
    <row r="78" spans="1:8" s="54" customFormat="1" ht="14.45" x14ac:dyDescent="0.25">
      <c r="A78" s="19" t="s">
        <v>9</v>
      </c>
      <c r="B78" s="64">
        <v>46105</v>
      </c>
      <c r="C78" s="64">
        <v>46105</v>
      </c>
      <c r="D78" s="19" t="s">
        <v>10</v>
      </c>
      <c r="E78" s="19"/>
      <c r="F78" s="19" t="s">
        <v>129</v>
      </c>
      <c r="G78" s="19"/>
      <c r="H78" s="65">
        <v>50</v>
      </c>
    </row>
    <row r="79" spans="1:8" s="54" customFormat="1" ht="14.45" x14ac:dyDescent="0.25">
      <c r="A79" s="19" t="s">
        <v>130</v>
      </c>
      <c r="B79" s="64">
        <v>46106</v>
      </c>
      <c r="C79" s="64">
        <v>46106</v>
      </c>
      <c r="D79" s="19" t="s">
        <v>10</v>
      </c>
      <c r="E79" s="19" t="s">
        <v>131</v>
      </c>
      <c r="F79" s="19" t="s">
        <v>132</v>
      </c>
      <c r="G79" s="19"/>
      <c r="H79" s="65">
        <v>200</v>
      </c>
    </row>
    <row r="80" spans="1:8" s="54" customFormat="1" x14ac:dyDescent="0.25">
      <c r="A80" s="19" t="s">
        <v>16</v>
      </c>
      <c r="B80" s="64">
        <v>46106</v>
      </c>
      <c r="C80" s="64">
        <v>46106</v>
      </c>
      <c r="D80" s="19" t="s">
        <v>10</v>
      </c>
      <c r="E80" s="19" t="s">
        <v>133</v>
      </c>
      <c r="F80" s="19" t="s">
        <v>15</v>
      </c>
      <c r="G80" s="19"/>
      <c r="H80" s="65">
        <v>19</v>
      </c>
    </row>
    <row r="81" spans="1:8" s="54" customFormat="1" x14ac:dyDescent="0.25">
      <c r="A81" s="19" t="s">
        <v>44</v>
      </c>
      <c r="B81" s="64">
        <v>46106</v>
      </c>
      <c r="C81" s="64">
        <v>46107</v>
      </c>
      <c r="D81" s="19" t="s">
        <v>10</v>
      </c>
      <c r="E81" s="19" t="s">
        <v>134</v>
      </c>
      <c r="F81" s="19" t="s">
        <v>82</v>
      </c>
      <c r="G81" s="19"/>
      <c r="H81" s="65">
        <v>8</v>
      </c>
    </row>
    <row r="82" spans="1:8" s="54" customFormat="1" x14ac:dyDescent="0.25">
      <c r="A82" s="19" t="s">
        <v>90</v>
      </c>
      <c r="B82" s="64">
        <v>46107</v>
      </c>
      <c r="C82" s="64">
        <v>46107</v>
      </c>
      <c r="D82" s="19" t="s">
        <v>42</v>
      </c>
      <c r="E82" s="19" t="s">
        <v>135</v>
      </c>
      <c r="F82" s="19" t="s">
        <v>136</v>
      </c>
      <c r="G82" s="19"/>
      <c r="H82" s="65">
        <v>40</v>
      </c>
    </row>
    <row r="83" spans="1:8" s="54" customFormat="1" ht="14.45" x14ac:dyDescent="0.25">
      <c r="A83" s="19" t="s">
        <v>9</v>
      </c>
      <c r="B83" s="64">
        <v>46107</v>
      </c>
      <c r="C83" s="64">
        <v>46107</v>
      </c>
      <c r="D83" s="19" t="s">
        <v>10</v>
      </c>
      <c r="E83" s="19" t="s">
        <v>137</v>
      </c>
      <c r="F83" s="19" t="s">
        <v>15</v>
      </c>
      <c r="G83" s="19"/>
      <c r="H83" s="65">
        <v>8</v>
      </c>
    </row>
    <row r="84" spans="1:8" s="54" customFormat="1" ht="15.75" customHeight="1" x14ac:dyDescent="0.25">
      <c r="A84" s="19" t="s">
        <v>16</v>
      </c>
      <c r="B84" s="64">
        <v>46107</v>
      </c>
      <c r="C84" s="64">
        <v>46107</v>
      </c>
      <c r="D84" s="19" t="s">
        <v>45</v>
      </c>
      <c r="E84" s="19" t="s">
        <v>138</v>
      </c>
      <c r="F84" s="19" t="s">
        <v>15</v>
      </c>
      <c r="G84" s="19"/>
      <c r="H84" s="65">
        <v>6</v>
      </c>
    </row>
    <row r="85" spans="1:8" ht="14.45" x14ac:dyDescent="0.25">
      <c r="A85" s="19" t="s">
        <v>38</v>
      </c>
      <c r="B85" s="64">
        <v>46107</v>
      </c>
      <c r="C85" s="64">
        <v>46107</v>
      </c>
      <c r="D85" s="19" t="s">
        <v>45</v>
      </c>
      <c r="E85" s="19"/>
      <c r="F85" s="19" t="s">
        <v>139</v>
      </c>
      <c r="G85" s="19"/>
      <c r="H85" s="65">
        <v>4</v>
      </c>
    </row>
    <row r="86" spans="1:8" s="54" customFormat="1" ht="14.45" x14ac:dyDescent="0.25">
      <c r="A86" s="19" t="s">
        <v>140</v>
      </c>
      <c r="B86" s="64">
        <v>46107</v>
      </c>
      <c r="C86" s="64">
        <v>46107</v>
      </c>
      <c r="D86" s="19" t="s">
        <v>42</v>
      </c>
      <c r="E86" s="19" t="s">
        <v>141</v>
      </c>
      <c r="F86" s="19" t="s">
        <v>142</v>
      </c>
      <c r="G86" s="19"/>
      <c r="H86" s="65">
        <v>20</v>
      </c>
    </row>
    <row r="87" spans="1:8" s="54" customFormat="1" ht="14.45" x14ac:dyDescent="0.25">
      <c r="A87" s="19" t="s">
        <v>52</v>
      </c>
      <c r="B87" s="64">
        <v>46108</v>
      </c>
      <c r="C87" s="64">
        <v>46110</v>
      </c>
      <c r="D87" s="19" t="s">
        <v>10</v>
      </c>
      <c r="E87" s="19"/>
      <c r="F87" s="19" t="s">
        <v>143</v>
      </c>
      <c r="G87" s="19">
        <v>12000</v>
      </c>
      <c r="H87" s="65">
        <v>70</v>
      </c>
    </row>
    <row r="88" spans="1:8" s="54" customFormat="1" ht="14.45" x14ac:dyDescent="0.25">
      <c r="A88" s="19" t="s">
        <v>144</v>
      </c>
      <c r="B88" s="64">
        <v>46109</v>
      </c>
      <c r="C88" s="64">
        <v>46109</v>
      </c>
      <c r="D88" s="19" t="s">
        <v>45</v>
      </c>
      <c r="E88" s="19"/>
      <c r="F88" s="19" t="s">
        <v>54</v>
      </c>
      <c r="G88" s="19"/>
      <c r="H88" s="65">
        <v>800</v>
      </c>
    </row>
    <row r="89" spans="1:8" s="54" customFormat="1" ht="14.45" x14ac:dyDescent="0.25">
      <c r="A89" s="19" t="s">
        <v>9</v>
      </c>
      <c r="B89" s="64">
        <v>46109</v>
      </c>
      <c r="C89" s="64">
        <v>46109</v>
      </c>
      <c r="D89" s="19" t="s">
        <v>10</v>
      </c>
      <c r="E89" s="19"/>
      <c r="F89" s="19" t="s">
        <v>145</v>
      </c>
      <c r="G89" s="19"/>
      <c r="H89" s="65">
        <v>20</v>
      </c>
    </row>
    <row r="90" spans="1:8" s="54" customFormat="1" x14ac:dyDescent="0.25">
      <c r="A90" s="19" t="s">
        <v>21</v>
      </c>
      <c r="B90" s="64">
        <v>46111</v>
      </c>
      <c r="C90" s="64">
        <v>46112</v>
      </c>
      <c r="D90" s="19" t="s">
        <v>42</v>
      </c>
      <c r="E90" s="19" t="s">
        <v>146</v>
      </c>
      <c r="F90" s="19" t="s">
        <v>147</v>
      </c>
      <c r="G90" s="19"/>
      <c r="H90" s="65">
        <v>20</v>
      </c>
    </row>
    <row r="91" spans="1:8" s="54" customFormat="1" x14ac:dyDescent="0.25">
      <c r="A91" s="19" t="s">
        <v>16</v>
      </c>
      <c r="B91" s="64">
        <v>46111</v>
      </c>
      <c r="C91" s="64">
        <v>46111</v>
      </c>
      <c r="D91" s="19" t="s">
        <v>42</v>
      </c>
      <c r="E91" s="19" t="s">
        <v>148</v>
      </c>
      <c r="F91" s="19" t="s">
        <v>15</v>
      </c>
      <c r="G91" s="19"/>
      <c r="H91" s="65">
        <v>19</v>
      </c>
    </row>
    <row r="92" spans="1:8" s="54" customFormat="1" ht="14.45" x14ac:dyDescent="0.25">
      <c r="A92" s="19" t="s">
        <v>9</v>
      </c>
      <c r="B92" s="64">
        <v>46114</v>
      </c>
      <c r="C92" s="64">
        <v>46117</v>
      </c>
      <c r="D92" s="19" t="s">
        <v>45</v>
      </c>
      <c r="E92" s="19" t="s">
        <v>149</v>
      </c>
      <c r="F92" s="19" t="s">
        <v>15</v>
      </c>
      <c r="G92" s="19"/>
      <c r="H92" s="65">
        <v>50</v>
      </c>
    </row>
    <row r="93" spans="1:8" ht="14.45" x14ac:dyDescent="0.25">
      <c r="A93" s="19"/>
      <c r="B93" s="64">
        <v>46114</v>
      </c>
      <c r="C93" s="64">
        <v>46117</v>
      </c>
      <c r="D93" s="19" t="s">
        <v>10</v>
      </c>
      <c r="E93" s="19" t="s">
        <v>150</v>
      </c>
      <c r="F93" s="19" t="s">
        <v>15</v>
      </c>
      <c r="G93" s="19"/>
      <c r="H93" s="65"/>
    </row>
    <row r="94" spans="1:8" s="54" customFormat="1" ht="14.45" x14ac:dyDescent="0.25">
      <c r="A94" s="19"/>
      <c r="B94" s="64">
        <v>46115</v>
      </c>
      <c r="C94" s="64">
        <v>46115</v>
      </c>
      <c r="D94" s="19" t="s">
        <v>10</v>
      </c>
      <c r="E94" s="19" t="s">
        <v>151</v>
      </c>
      <c r="F94" s="19" t="s">
        <v>15</v>
      </c>
      <c r="G94" s="19"/>
      <c r="H94" s="65"/>
    </row>
    <row r="95" spans="1:8" ht="14.45" x14ac:dyDescent="0.25">
      <c r="A95" s="19"/>
      <c r="B95" s="64">
        <v>46116</v>
      </c>
      <c r="C95" s="64">
        <v>46116</v>
      </c>
      <c r="D95" s="19" t="s">
        <v>10</v>
      </c>
      <c r="E95" s="19" t="s">
        <v>151</v>
      </c>
      <c r="F95" s="19" t="s">
        <v>15</v>
      </c>
      <c r="G95" s="19"/>
      <c r="H95" s="65"/>
    </row>
    <row r="96" spans="1:8" ht="14.45" x14ac:dyDescent="0.25">
      <c r="A96" s="19"/>
      <c r="B96" s="64">
        <v>46117</v>
      </c>
      <c r="C96" s="64">
        <v>46117</v>
      </c>
      <c r="D96" s="19" t="s">
        <v>10</v>
      </c>
      <c r="E96" s="19" t="s">
        <v>152</v>
      </c>
      <c r="F96" s="19" t="s">
        <v>15</v>
      </c>
      <c r="G96" s="19"/>
      <c r="H96" s="65"/>
    </row>
    <row r="97" spans="1:8" ht="14.45" x14ac:dyDescent="0.25">
      <c r="A97" s="19" t="s">
        <v>52</v>
      </c>
      <c r="B97" s="64">
        <v>46119</v>
      </c>
      <c r="C97" s="64">
        <v>46119</v>
      </c>
      <c r="D97" s="19" t="s">
        <v>10</v>
      </c>
      <c r="E97" s="19"/>
      <c r="F97" s="19" t="s">
        <v>153</v>
      </c>
      <c r="G97" s="19">
        <v>1200</v>
      </c>
      <c r="H97" s="65">
        <v>70</v>
      </c>
    </row>
    <row r="98" spans="1:8" s="54" customFormat="1" ht="28.9" x14ac:dyDescent="0.25">
      <c r="A98" s="19" t="s">
        <v>90</v>
      </c>
      <c r="B98" s="64">
        <v>46119</v>
      </c>
      <c r="C98" s="64">
        <v>46119</v>
      </c>
      <c r="D98" s="19" t="s">
        <v>42</v>
      </c>
      <c r="E98" s="66" t="s">
        <v>154</v>
      </c>
      <c r="F98" s="19" t="s">
        <v>155</v>
      </c>
      <c r="G98" s="19"/>
      <c r="H98" s="65">
        <v>50</v>
      </c>
    </row>
    <row r="99" spans="1:8" ht="14.45" x14ac:dyDescent="0.25">
      <c r="A99" s="19" t="s">
        <v>9</v>
      </c>
      <c r="B99" s="64">
        <v>46119</v>
      </c>
      <c r="C99" s="64">
        <v>46119</v>
      </c>
      <c r="D99" s="19" t="s">
        <v>10</v>
      </c>
      <c r="E99" s="19" t="s">
        <v>156</v>
      </c>
      <c r="F99" s="19" t="s">
        <v>157</v>
      </c>
      <c r="G99" s="19"/>
      <c r="H99" s="65">
        <v>8</v>
      </c>
    </row>
    <row r="100" spans="1:8" s="54" customFormat="1" ht="14.45" x14ac:dyDescent="0.25">
      <c r="A100" s="19" t="s">
        <v>18</v>
      </c>
      <c r="B100" s="64">
        <v>46120</v>
      </c>
      <c r="C100" s="64">
        <v>46120</v>
      </c>
      <c r="D100" s="19" t="s">
        <v>10</v>
      </c>
      <c r="E100" s="19"/>
      <c r="F100" s="19" t="s">
        <v>158</v>
      </c>
      <c r="G100" s="19"/>
      <c r="H100" s="65">
        <v>350</v>
      </c>
    </row>
    <row r="101" spans="1:8" s="54" customFormat="1" ht="14.45" x14ac:dyDescent="0.25">
      <c r="A101" s="19" t="s">
        <v>159</v>
      </c>
      <c r="B101" s="64">
        <v>46120</v>
      </c>
      <c r="C101" s="64">
        <v>46120</v>
      </c>
      <c r="D101" s="19" t="s">
        <v>10</v>
      </c>
      <c r="E101" s="19"/>
      <c r="F101" s="19" t="s">
        <v>85</v>
      </c>
      <c r="G101" s="19">
        <v>0</v>
      </c>
      <c r="H101" s="65">
        <v>200</v>
      </c>
    </row>
    <row r="102" spans="1:8" ht="14.25" customHeight="1" x14ac:dyDescent="0.25">
      <c r="A102" s="19" t="s">
        <v>9</v>
      </c>
      <c r="B102" s="64">
        <v>46120</v>
      </c>
      <c r="C102" s="64">
        <v>46120</v>
      </c>
      <c r="D102" s="19" t="s">
        <v>10</v>
      </c>
      <c r="E102" s="19"/>
      <c r="F102" s="19" t="s">
        <v>47</v>
      </c>
      <c r="G102" s="19"/>
      <c r="H102" s="65">
        <v>40</v>
      </c>
    </row>
    <row r="103" spans="1:8" ht="14.45" x14ac:dyDescent="0.25">
      <c r="A103" s="19" t="s">
        <v>16</v>
      </c>
      <c r="B103" s="64">
        <v>46120</v>
      </c>
      <c r="C103" s="64">
        <v>46120</v>
      </c>
      <c r="D103" s="19" t="s">
        <v>10</v>
      </c>
      <c r="E103" s="19" t="s">
        <v>160</v>
      </c>
      <c r="F103" s="19" t="s">
        <v>97</v>
      </c>
      <c r="G103" s="19"/>
      <c r="H103" s="65">
        <v>16</v>
      </c>
    </row>
    <row r="104" spans="1:8" ht="14.45" x14ac:dyDescent="0.25">
      <c r="A104" s="19"/>
      <c r="B104" s="64">
        <v>46120</v>
      </c>
      <c r="C104" s="64">
        <v>46125</v>
      </c>
      <c r="D104" s="19" t="s">
        <v>45</v>
      </c>
      <c r="E104" s="19"/>
      <c r="F104" s="19" t="s">
        <v>161</v>
      </c>
      <c r="G104" s="19"/>
      <c r="H104" s="65"/>
    </row>
    <row r="105" spans="1:8" x14ac:dyDescent="0.25">
      <c r="A105" s="19" t="s">
        <v>44</v>
      </c>
      <c r="B105" s="64">
        <v>46120</v>
      </c>
      <c r="C105" s="64">
        <v>46120</v>
      </c>
      <c r="D105" s="19" t="s">
        <v>10</v>
      </c>
      <c r="E105" s="19" t="s">
        <v>162</v>
      </c>
      <c r="F105" s="19" t="s">
        <v>89</v>
      </c>
      <c r="G105" s="19"/>
      <c r="H105" s="65">
        <v>7</v>
      </c>
    </row>
    <row r="106" spans="1:8" ht="14.45" x14ac:dyDescent="0.25">
      <c r="A106" s="19" t="s">
        <v>163</v>
      </c>
      <c r="B106" s="64">
        <v>46121</v>
      </c>
      <c r="C106" s="64">
        <v>46121</v>
      </c>
      <c r="D106" s="19" t="s">
        <v>10</v>
      </c>
      <c r="E106" s="19" t="s">
        <v>164</v>
      </c>
      <c r="F106" s="19" t="s">
        <v>85</v>
      </c>
      <c r="G106" s="19">
        <v>2473</v>
      </c>
      <c r="H106" s="65">
        <v>500</v>
      </c>
    </row>
    <row r="107" spans="1:8" x14ac:dyDescent="0.25">
      <c r="A107" s="19" t="s">
        <v>21</v>
      </c>
      <c r="B107" s="64">
        <v>46121</v>
      </c>
      <c r="C107" s="64">
        <v>46122</v>
      </c>
      <c r="D107" s="19" t="s">
        <v>10</v>
      </c>
      <c r="E107" s="19" t="s">
        <v>165</v>
      </c>
      <c r="F107" s="19" t="s">
        <v>12</v>
      </c>
      <c r="G107" s="19"/>
      <c r="H107" s="65">
        <v>40</v>
      </c>
    </row>
    <row r="108" spans="1:8" ht="14.45" x14ac:dyDescent="0.25">
      <c r="A108" s="19" t="s">
        <v>80</v>
      </c>
      <c r="B108" s="64">
        <v>46121</v>
      </c>
      <c r="C108" s="64">
        <v>46121</v>
      </c>
      <c r="D108" s="19" t="s">
        <v>10</v>
      </c>
      <c r="E108" s="19" t="s">
        <v>166</v>
      </c>
      <c r="F108" s="19" t="s">
        <v>167</v>
      </c>
      <c r="G108" s="19"/>
      <c r="H108" s="65">
        <v>32</v>
      </c>
    </row>
    <row r="109" spans="1:8" ht="14.45" x14ac:dyDescent="0.25">
      <c r="A109" s="19" t="s">
        <v>168</v>
      </c>
      <c r="B109" s="64">
        <v>46122</v>
      </c>
      <c r="C109" s="64">
        <v>46123</v>
      </c>
      <c r="D109" s="19" t="s">
        <v>10</v>
      </c>
      <c r="E109" s="19"/>
      <c r="F109" s="19" t="s">
        <v>169</v>
      </c>
      <c r="G109" s="19">
        <v>10000</v>
      </c>
      <c r="H109" s="65">
        <v>500</v>
      </c>
    </row>
    <row r="110" spans="1:8" x14ac:dyDescent="0.25">
      <c r="A110" s="19" t="s">
        <v>44</v>
      </c>
      <c r="B110" s="64">
        <v>46122</v>
      </c>
      <c r="C110" s="64">
        <v>46122</v>
      </c>
      <c r="D110" s="19" t="s">
        <v>10</v>
      </c>
      <c r="E110" s="19" t="s">
        <v>170</v>
      </c>
      <c r="F110" s="19" t="s">
        <v>15</v>
      </c>
      <c r="G110" s="19"/>
      <c r="H110" s="65">
        <v>6</v>
      </c>
    </row>
    <row r="111" spans="1:8" x14ac:dyDescent="0.25">
      <c r="A111" s="19" t="s">
        <v>80</v>
      </c>
      <c r="B111" s="64">
        <v>46122</v>
      </c>
      <c r="C111" s="64">
        <v>46122</v>
      </c>
      <c r="D111" s="19" t="s">
        <v>10</v>
      </c>
      <c r="E111" s="19" t="s">
        <v>171</v>
      </c>
      <c r="F111" s="19" t="s">
        <v>82</v>
      </c>
      <c r="G111" s="19"/>
      <c r="H111" s="65">
        <v>30</v>
      </c>
    </row>
    <row r="112" spans="1:8" ht="14.45" x14ac:dyDescent="0.25">
      <c r="A112" s="19" t="s">
        <v>30</v>
      </c>
      <c r="B112" s="64">
        <v>46127</v>
      </c>
      <c r="C112" s="64">
        <v>46127</v>
      </c>
      <c r="D112" s="19" t="s">
        <v>42</v>
      </c>
      <c r="E112" s="19" t="s">
        <v>172</v>
      </c>
      <c r="F112" s="19" t="s">
        <v>173</v>
      </c>
      <c r="G112" s="19"/>
      <c r="H112" s="65">
        <v>60</v>
      </c>
    </row>
    <row r="113" spans="1:8" x14ac:dyDescent="0.25">
      <c r="A113" s="19" t="s">
        <v>41</v>
      </c>
      <c r="B113" s="64">
        <v>46127</v>
      </c>
      <c r="C113" s="64">
        <v>46127</v>
      </c>
      <c r="D113" s="19" t="s">
        <v>42</v>
      </c>
      <c r="E113" s="19" t="s">
        <v>174</v>
      </c>
      <c r="F113" s="19" t="s">
        <v>15</v>
      </c>
      <c r="G113" s="19"/>
      <c r="H113" s="65">
        <v>10</v>
      </c>
    </row>
    <row r="114" spans="1:8" x14ac:dyDescent="0.25">
      <c r="A114" s="19" t="s">
        <v>9</v>
      </c>
      <c r="B114" s="64">
        <v>46127</v>
      </c>
      <c r="C114" s="64">
        <v>46127</v>
      </c>
      <c r="D114" s="19" t="s">
        <v>10</v>
      </c>
      <c r="E114" s="19" t="s">
        <v>175</v>
      </c>
      <c r="F114" s="19" t="s">
        <v>176</v>
      </c>
      <c r="G114" s="19">
        <v>300</v>
      </c>
      <c r="H114" s="65">
        <v>25</v>
      </c>
    </row>
    <row r="115" spans="1:8" x14ac:dyDescent="0.25">
      <c r="A115" s="19" t="s">
        <v>44</v>
      </c>
      <c r="B115" s="64">
        <v>46127</v>
      </c>
      <c r="C115" s="64">
        <v>46127</v>
      </c>
      <c r="D115" s="19" t="s">
        <v>10</v>
      </c>
      <c r="E115" s="19" t="s">
        <v>177</v>
      </c>
      <c r="F115" s="19" t="s">
        <v>15</v>
      </c>
      <c r="G115" s="19"/>
      <c r="H115" s="65">
        <v>3</v>
      </c>
    </row>
    <row r="116" spans="1:8" x14ac:dyDescent="0.25">
      <c r="A116" s="19" t="s">
        <v>22</v>
      </c>
      <c r="B116" s="64">
        <v>46128</v>
      </c>
      <c r="C116" s="64">
        <v>46128</v>
      </c>
      <c r="D116" s="19" t="s">
        <v>10</v>
      </c>
      <c r="E116" s="19" t="s">
        <v>178</v>
      </c>
      <c r="F116" s="19" t="s">
        <v>179</v>
      </c>
      <c r="G116" s="19">
        <v>1200</v>
      </c>
      <c r="H116" s="65">
        <v>40</v>
      </c>
    </row>
    <row r="117" spans="1:8" ht="14.45" x14ac:dyDescent="0.25">
      <c r="A117" s="19"/>
      <c r="B117" s="64">
        <v>46128</v>
      </c>
      <c r="C117" s="64">
        <v>46129</v>
      </c>
      <c r="D117" s="19" t="s">
        <v>42</v>
      </c>
      <c r="E117" s="19"/>
      <c r="F117" s="19" t="s">
        <v>180</v>
      </c>
      <c r="G117" s="19"/>
      <c r="H117" s="65">
        <v>90</v>
      </c>
    </row>
    <row r="118" spans="1:8" ht="14.45" x14ac:dyDescent="0.25">
      <c r="A118" s="19" t="s">
        <v>44</v>
      </c>
      <c r="B118" s="64">
        <v>46128</v>
      </c>
      <c r="C118" s="64">
        <v>46128</v>
      </c>
      <c r="D118" s="19" t="s">
        <v>10</v>
      </c>
      <c r="E118" s="19"/>
      <c r="F118" s="19" t="s">
        <v>181</v>
      </c>
      <c r="G118" s="19"/>
      <c r="H118" s="65">
        <v>6</v>
      </c>
    </row>
    <row r="119" spans="1:8" ht="14.45" x14ac:dyDescent="0.25">
      <c r="A119" s="19" t="s">
        <v>16</v>
      </c>
      <c r="B119" s="64">
        <v>46128</v>
      </c>
      <c r="C119" s="64">
        <v>46128</v>
      </c>
      <c r="D119" s="19" t="s">
        <v>42</v>
      </c>
      <c r="E119" s="19" t="s">
        <v>182</v>
      </c>
      <c r="F119" s="19" t="s">
        <v>183</v>
      </c>
      <c r="G119" s="19"/>
      <c r="H119" s="65">
        <v>25</v>
      </c>
    </row>
    <row r="120" spans="1:8" ht="14.45" x14ac:dyDescent="0.25">
      <c r="A120" s="19" t="s">
        <v>184</v>
      </c>
      <c r="B120" s="64">
        <v>46128</v>
      </c>
      <c r="C120" s="64">
        <v>46128</v>
      </c>
      <c r="D120" s="19" t="s">
        <v>10</v>
      </c>
      <c r="E120" s="19" t="s">
        <v>185</v>
      </c>
      <c r="F120" s="19" t="s">
        <v>47</v>
      </c>
      <c r="G120" s="19"/>
      <c r="H120" s="65">
        <v>25</v>
      </c>
    </row>
    <row r="121" spans="1:8" x14ac:dyDescent="0.25">
      <c r="A121" s="19" t="s">
        <v>9</v>
      </c>
      <c r="B121" s="64">
        <v>46128</v>
      </c>
      <c r="C121" s="64">
        <v>46128</v>
      </c>
      <c r="D121" s="19" t="s">
        <v>42</v>
      </c>
      <c r="E121" s="19" t="s">
        <v>104</v>
      </c>
      <c r="F121" s="19" t="s">
        <v>186</v>
      </c>
      <c r="G121" s="19"/>
      <c r="H121" s="65">
        <v>40</v>
      </c>
    </row>
    <row r="122" spans="1:8" ht="45" x14ac:dyDescent="0.25">
      <c r="A122" s="19" t="s">
        <v>21</v>
      </c>
      <c r="B122" s="64">
        <v>46128</v>
      </c>
      <c r="C122" s="64">
        <v>46128</v>
      </c>
      <c r="D122" s="19" t="s">
        <v>42</v>
      </c>
      <c r="E122" s="66" t="s">
        <v>187</v>
      </c>
      <c r="F122" s="19" t="s">
        <v>188</v>
      </c>
      <c r="G122" s="19"/>
      <c r="H122" s="65">
        <v>40</v>
      </c>
    </row>
    <row r="123" spans="1:8" ht="28.9" x14ac:dyDescent="0.25">
      <c r="A123" s="19" t="s">
        <v>189</v>
      </c>
      <c r="B123" s="64">
        <v>46129</v>
      </c>
      <c r="C123" s="64">
        <v>46129</v>
      </c>
      <c r="D123" s="19" t="s">
        <v>10</v>
      </c>
      <c r="E123" s="66" t="s">
        <v>190</v>
      </c>
      <c r="F123" s="19" t="s">
        <v>191</v>
      </c>
      <c r="G123" s="19"/>
      <c r="H123" s="65">
        <v>25</v>
      </c>
    </row>
    <row r="124" spans="1:8" ht="14.45" x14ac:dyDescent="0.25">
      <c r="A124" s="19" t="s">
        <v>192</v>
      </c>
      <c r="B124" s="64">
        <v>46129</v>
      </c>
      <c r="C124" s="64">
        <v>46130</v>
      </c>
      <c r="D124" s="19" t="s">
        <v>10</v>
      </c>
      <c r="E124" s="19" t="s">
        <v>193</v>
      </c>
      <c r="F124" s="19" t="s">
        <v>194</v>
      </c>
      <c r="G124" s="19"/>
      <c r="H124" s="65">
        <v>56</v>
      </c>
    </row>
    <row r="125" spans="1:8" ht="14.45" x14ac:dyDescent="0.25">
      <c r="A125" s="19" t="s">
        <v>16</v>
      </c>
      <c r="B125" s="64">
        <v>46129</v>
      </c>
      <c r="C125" s="64">
        <v>46129</v>
      </c>
      <c r="D125" s="19" t="s">
        <v>10</v>
      </c>
      <c r="E125" s="19" t="s">
        <v>195</v>
      </c>
      <c r="F125" s="19" t="s">
        <v>142</v>
      </c>
      <c r="G125" s="19"/>
      <c r="H125" s="65">
        <v>15</v>
      </c>
    </row>
    <row r="126" spans="1:8" x14ac:dyDescent="0.25">
      <c r="A126" s="19" t="s">
        <v>44</v>
      </c>
      <c r="B126" s="64">
        <v>46129</v>
      </c>
      <c r="C126" s="64">
        <v>46129</v>
      </c>
      <c r="D126" s="19" t="s">
        <v>10</v>
      </c>
      <c r="E126" s="19"/>
      <c r="F126" s="19" t="s">
        <v>12</v>
      </c>
      <c r="G126" s="19"/>
      <c r="H126" s="65">
        <v>7</v>
      </c>
    </row>
    <row r="127" spans="1:8" ht="14.45" x14ac:dyDescent="0.25">
      <c r="A127" s="19" t="s">
        <v>189</v>
      </c>
      <c r="B127" s="64">
        <v>46130</v>
      </c>
      <c r="C127" s="64">
        <v>46130</v>
      </c>
      <c r="D127" s="19" t="s">
        <v>42</v>
      </c>
      <c r="E127" s="19" t="s">
        <v>196</v>
      </c>
      <c r="F127" s="19" t="s">
        <v>197</v>
      </c>
      <c r="G127" s="19"/>
      <c r="H127" s="65">
        <v>25</v>
      </c>
    </row>
    <row r="128" spans="1:8" ht="14.45" x14ac:dyDescent="0.25">
      <c r="A128" s="19" t="s">
        <v>198</v>
      </c>
      <c r="B128" s="64">
        <v>46130</v>
      </c>
      <c r="C128" s="64">
        <v>46131</v>
      </c>
      <c r="D128" s="19" t="s">
        <v>10</v>
      </c>
      <c r="E128" s="19" t="s">
        <v>199</v>
      </c>
      <c r="F128" s="19" t="s">
        <v>200</v>
      </c>
      <c r="G128" s="19"/>
      <c r="H128" s="65"/>
    </row>
    <row r="129" spans="1:8" ht="43.15" x14ac:dyDescent="0.25">
      <c r="A129" s="19" t="s">
        <v>201</v>
      </c>
      <c r="B129" s="64">
        <v>46131</v>
      </c>
      <c r="C129" s="64">
        <v>46133</v>
      </c>
      <c r="D129" s="19" t="s">
        <v>10</v>
      </c>
      <c r="E129" s="66" t="s">
        <v>202</v>
      </c>
      <c r="F129" s="19" t="s">
        <v>203</v>
      </c>
      <c r="G129" s="19">
        <v>19500</v>
      </c>
      <c r="H129" s="65">
        <v>200</v>
      </c>
    </row>
    <row r="130" spans="1:8" x14ac:dyDescent="0.25">
      <c r="A130" s="19" t="s">
        <v>21</v>
      </c>
      <c r="B130" s="64">
        <v>46132</v>
      </c>
      <c r="C130" s="64">
        <v>46132</v>
      </c>
      <c r="D130" s="19" t="s">
        <v>10</v>
      </c>
      <c r="E130" s="19" t="s">
        <v>204</v>
      </c>
      <c r="F130" s="19" t="s">
        <v>205</v>
      </c>
      <c r="G130" s="19"/>
      <c r="H130" s="65">
        <v>40</v>
      </c>
    </row>
    <row r="131" spans="1:8" ht="14.45" x14ac:dyDescent="0.25">
      <c r="A131" s="19" t="s">
        <v>22</v>
      </c>
      <c r="B131" s="64">
        <v>46133</v>
      </c>
      <c r="C131" s="64">
        <v>46133</v>
      </c>
      <c r="D131" s="19" t="s">
        <v>42</v>
      </c>
      <c r="E131" s="19" t="s">
        <v>206</v>
      </c>
      <c r="F131" s="19" t="s">
        <v>207</v>
      </c>
      <c r="G131" s="19"/>
      <c r="H131" s="65">
        <v>30</v>
      </c>
    </row>
    <row r="132" spans="1:8" ht="14.45" x14ac:dyDescent="0.25">
      <c r="A132" s="19" t="s">
        <v>208</v>
      </c>
      <c r="B132" s="64">
        <v>46134</v>
      </c>
      <c r="C132" s="64">
        <v>46136</v>
      </c>
      <c r="D132" s="19" t="s">
        <v>10</v>
      </c>
      <c r="E132" s="19" t="s">
        <v>209</v>
      </c>
      <c r="F132" s="19" t="s">
        <v>210</v>
      </c>
      <c r="G132" s="67">
        <v>12397</v>
      </c>
      <c r="H132" s="65">
        <v>150</v>
      </c>
    </row>
    <row r="133" spans="1:8" ht="14.45" x14ac:dyDescent="0.25">
      <c r="A133" s="19" t="s">
        <v>211</v>
      </c>
      <c r="B133" s="64">
        <v>46134</v>
      </c>
      <c r="C133" s="64">
        <v>46135</v>
      </c>
      <c r="D133" s="19" t="s">
        <v>10</v>
      </c>
      <c r="E133" s="19" t="s">
        <v>212</v>
      </c>
      <c r="F133" s="19" t="s">
        <v>85</v>
      </c>
      <c r="G133" s="19">
        <v>4000</v>
      </c>
      <c r="H133" s="65">
        <v>40</v>
      </c>
    </row>
    <row r="134" spans="1:8" ht="20.25" customHeight="1" x14ac:dyDescent="0.25">
      <c r="A134" s="19" t="s">
        <v>22</v>
      </c>
      <c r="B134" s="64">
        <v>46134</v>
      </c>
      <c r="C134" s="64">
        <v>46134</v>
      </c>
      <c r="D134" s="19" t="s">
        <v>42</v>
      </c>
      <c r="E134" s="19" t="s">
        <v>213</v>
      </c>
      <c r="F134" s="19" t="s">
        <v>214</v>
      </c>
      <c r="G134" s="19"/>
      <c r="H134" s="65">
        <v>35</v>
      </c>
    </row>
    <row r="135" spans="1:8" ht="14.45" x14ac:dyDescent="0.25">
      <c r="A135" s="19" t="s">
        <v>9</v>
      </c>
      <c r="B135" s="64">
        <v>46134</v>
      </c>
      <c r="C135" s="64">
        <v>46135</v>
      </c>
      <c r="D135" s="19" t="s">
        <v>10</v>
      </c>
      <c r="E135" s="19" t="s">
        <v>215</v>
      </c>
      <c r="F135" s="19" t="s">
        <v>216</v>
      </c>
      <c r="G135" s="19">
        <v>2000</v>
      </c>
      <c r="H135" s="65">
        <v>70</v>
      </c>
    </row>
    <row r="136" spans="1:8" ht="18" customHeight="1" x14ac:dyDescent="0.25">
      <c r="A136" s="19" t="s">
        <v>90</v>
      </c>
      <c r="B136" s="64">
        <v>46134</v>
      </c>
      <c r="C136" s="64">
        <v>46134</v>
      </c>
      <c r="D136" s="19" t="s">
        <v>45</v>
      </c>
      <c r="E136" s="19" t="s">
        <v>217</v>
      </c>
      <c r="F136" s="19" t="s">
        <v>218</v>
      </c>
      <c r="G136" s="19"/>
      <c r="H136" s="65"/>
    </row>
    <row r="137" spans="1:8" ht="14.45" x14ac:dyDescent="0.25">
      <c r="A137" s="19" t="s">
        <v>22</v>
      </c>
      <c r="B137" s="64">
        <v>46135</v>
      </c>
      <c r="C137" s="64">
        <v>46135</v>
      </c>
      <c r="D137" s="19" t="s">
        <v>42</v>
      </c>
      <c r="E137" s="19"/>
      <c r="F137" s="19" t="s">
        <v>219</v>
      </c>
      <c r="G137" s="19"/>
      <c r="H137" s="65">
        <v>20</v>
      </c>
    </row>
    <row r="138" spans="1:8" ht="14.45" x14ac:dyDescent="0.25">
      <c r="A138" s="19" t="s">
        <v>22</v>
      </c>
      <c r="B138" s="64">
        <v>46135</v>
      </c>
      <c r="C138" s="64">
        <v>46135</v>
      </c>
      <c r="D138" s="19" t="s">
        <v>10</v>
      </c>
      <c r="E138" s="19"/>
      <c r="F138" s="19" t="s">
        <v>47</v>
      </c>
      <c r="G138" s="19"/>
      <c r="H138" s="65">
        <v>30</v>
      </c>
    </row>
    <row r="139" spans="1:8" x14ac:dyDescent="0.25">
      <c r="A139" s="19" t="s">
        <v>140</v>
      </c>
      <c r="B139" s="64">
        <v>46135</v>
      </c>
      <c r="C139" s="64">
        <v>46135</v>
      </c>
      <c r="D139" s="19" t="s">
        <v>10</v>
      </c>
      <c r="E139" s="19" t="s">
        <v>220</v>
      </c>
      <c r="F139" s="19" t="s">
        <v>221</v>
      </c>
      <c r="G139" s="19"/>
      <c r="H139" s="65"/>
    </row>
    <row r="140" spans="1:8" ht="14.45" x14ac:dyDescent="0.25">
      <c r="A140" s="19" t="s">
        <v>90</v>
      </c>
      <c r="B140" s="64">
        <v>46136</v>
      </c>
      <c r="C140" s="64">
        <v>46136</v>
      </c>
      <c r="D140" s="19" t="s">
        <v>42</v>
      </c>
      <c r="E140" s="19" t="s">
        <v>222</v>
      </c>
      <c r="F140" s="19" t="s">
        <v>223</v>
      </c>
      <c r="G140" s="19"/>
      <c r="H140" s="65">
        <v>50</v>
      </c>
    </row>
    <row r="141" spans="1:8" x14ac:dyDescent="0.25">
      <c r="A141" s="19" t="s">
        <v>9</v>
      </c>
      <c r="B141" s="64">
        <v>46136</v>
      </c>
      <c r="C141" s="64">
        <v>46137</v>
      </c>
      <c r="D141" s="19" t="s">
        <v>42</v>
      </c>
      <c r="E141" s="19" t="s">
        <v>224</v>
      </c>
      <c r="F141" s="19" t="s">
        <v>225</v>
      </c>
      <c r="G141" s="19"/>
      <c r="H141" s="65">
        <v>50</v>
      </c>
    </row>
    <row r="142" spans="1:8" ht="14.45" x14ac:dyDescent="0.25">
      <c r="A142" s="19" t="s">
        <v>9</v>
      </c>
      <c r="B142" s="64">
        <v>46136</v>
      </c>
      <c r="C142" s="64">
        <v>46136</v>
      </c>
      <c r="D142" s="19" t="s">
        <v>10</v>
      </c>
      <c r="E142" s="19" t="s">
        <v>226</v>
      </c>
      <c r="F142" s="19" t="s">
        <v>47</v>
      </c>
      <c r="G142" s="19"/>
      <c r="H142" s="65">
        <v>25</v>
      </c>
    </row>
    <row r="143" spans="1:8" x14ac:dyDescent="0.25">
      <c r="A143" s="19" t="s">
        <v>21</v>
      </c>
      <c r="B143" s="64">
        <v>46137</v>
      </c>
      <c r="C143" s="64">
        <v>46138</v>
      </c>
      <c r="D143" s="19" t="s">
        <v>10</v>
      </c>
      <c r="E143" s="19" t="s">
        <v>165</v>
      </c>
      <c r="F143" s="19" t="s">
        <v>12</v>
      </c>
      <c r="G143" s="19"/>
      <c r="H143" s="65">
        <v>40</v>
      </c>
    </row>
    <row r="144" spans="1:8" ht="14.45" x14ac:dyDescent="0.25">
      <c r="A144" s="19" t="s">
        <v>227</v>
      </c>
      <c r="B144" s="64">
        <v>46137</v>
      </c>
      <c r="C144" s="64">
        <v>46137</v>
      </c>
      <c r="D144" s="19" t="s">
        <v>45</v>
      </c>
      <c r="E144" s="19" t="s">
        <v>228</v>
      </c>
      <c r="F144" s="19" t="s">
        <v>61</v>
      </c>
      <c r="G144" s="19"/>
      <c r="H144" s="65">
        <v>90</v>
      </c>
    </row>
    <row r="145" spans="1:8" ht="14.45" x14ac:dyDescent="0.25">
      <c r="A145" s="19" t="s">
        <v>229</v>
      </c>
      <c r="B145" s="64">
        <v>46140</v>
      </c>
      <c r="C145" s="64">
        <v>46141</v>
      </c>
      <c r="D145" s="19" t="s">
        <v>10</v>
      </c>
      <c r="E145" s="19" t="s">
        <v>230</v>
      </c>
      <c r="F145" s="19" t="s">
        <v>231</v>
      </c>
      <c r="G145" s="19">
        <v>4000</v>
      </c>
      <c r="H145" s="65">
        <v>60</v>
      </c>
    </row>
    <row r="146" spans="1:8" x14ac:dyDescent="0.25">
      <c r="A146" s="19" t="s">
        <v>232</v>
      </c>
      <c r="B146" s="64">
        <v>46140</v>
      </c>
      <c r="C146" s="64">
        <v>46140</v>
      </c>
      <c r="D146" s="19" t="s">
        <v>42</v>
      </c>
      <c r="E146" s="19" t="s">
        <v>233</v>
      </c>
      <c r="F146" s="19" t="s">
        <v>234</v>
      </c>
      <c r="G146" s="19"/>
      <c r="H146" s="65"/>
    </row>
    <row r="147" spans="1:8" ht="14.45" x14ac:dyDescent="0.25">
      <c r="A147" s="19" t="s">
        <v>21</v>
      </c>
      <c r="B147" s="64">
        <v>46141</v>
      </c>
      <c r="C147" s="64">
        <v>46141</v>
      </c>
      <c r="D147" s="19" t="s">
        <v>10</v>
      </c>
      <c r="E147" s="19" t="s">
        <v>235</v>
      </c>
      <c r="F147" s="19" t="s">
        <v>236</v>
      </c>
      <c r="G147" s="19">
        <v>800</v>
      </c>
      <c r="H147" s="65">
        <v>30</v>
      </c>
    </row>
    <row r="148" spans="1:8" ht="14.45" x14ac:dyDescent="0.25">
      <c r="A148" s="19" t="s">
        <v>227</v>
      </c>
      <c r="B148" s="64">
        <v>46141</v>
      </c>
      <c r="C148" s="64">
        <v>46141</v>
      </c>
      <c r="D148" s="19" t="s">
        <v>10</v>
      </c>
      <c r="E148" s="19" t="s">
        <v>237</v>
      </c>
      <c r="F148" s="19" t="s">
        <v>238</v>
      </c>
      <c r="G148" s="19">
        <v>2105</v>
      </c>
      <c r="H148" s="65">
        <v>80</v>
      </c>
    </row>
    <row r="149" spans="1:8" ht="14.45" x14ac:dyDescent="0.25">
      <c r="A149" s="19" t="s">
        <v>9</v>
      </c>
      <c r="B149" s="64">
        <v>46141</v>
      </c>
      <c r="C149" s="64">
        <v>46141</v>
      </c>
      <c r="D149" s="19" t="s">
        <v>42</v>
      </c>
      <c r="E149" s="19" t="s">
        <v>239</v>
      </c>
      <c r="F149" s="19" t="s">
        <v>218</v>
      </c>
      <c r="G149" s="19"/>
      <c r="H149" s="65">
        <v>72</v>
      </c>
    </row>
    <row r="150" spans="1:8" ht="43.15" x14ac:dyDescent="0.25">
      <c r="A150" s="19" t="s">
        <v>240</v>
      </c>
      <c r="B150" s="64">
        <v>46142</v>
      </c>
      <c r="C150" s="64">
        <v>46142</v>
      </c>
      <c r="D150" s="19" t="s">
        <v>10</v>
      </c>
      <c r="E150" s="66" t="s">
        <v>241</v>
      </c>
      <c r="F150" s="19" t="s">
        <v>242</v>
      </c>
      <c r="G150" s="19"/>
      <c r="H150" s="65">
        <v>60</v>
      </c>
    </row>
    <row r="151" spans="1:8" x14ac:dyDescent="0.25">
      <c r="A151" s="19" t="s">
        <v>9</v>
      </c>
      <c r="B151" s="64">
        <v>46142</v>
      </c>
      <c r="C151" s="64">
        <v>46142</v>
      </c>
      <c r="D151" s="19" t="s">
        <v>45</v>
      </c>
      <c r="E151" s="19"/>
      <c r="F151" s="19" t="s">
        <v>67</v>
      </c>
      <c r="G151" s="19"/>
      <c r="H151" s="65">
        <v>50</v>
      </c>
    </row>
    <row r="152" spans="1:8" ht="28.9" x14ac:dyDescent="0.25">
      <c r="A152" s="19" t="s">
        <v>227</v>
      </c>
      <c r="B152" s="64">
        <v>46146</v>
      </c>
      <c r="C152" s="64">
        <v>46147</v>
      </c>
      <c r="D152" s="19" t="s">
        <v>10</v>
      </c>
      <c r="E152" s="66" t="s">
        <v>243</v>
      </c>
      <c r="F152" s="19" t="s">
        <v>244</v>
      </c>
      <c r="G152" s="19">
        <v>4400</v>
      </c>
      <c r="H152" s="65">
        <v>60</v>
      </c>
    </row>
    <row r="153" spans="1:8" ht="14.45" x14ac:dyDescent="0.25">
      <c r="A153" s="19" t="s">
        <v>245</v>
      </c>
      <c r="B153" s="64">
        <v>46146</v>
      </c>
      <c r="C153" s="64">
        <v>46146</v>
      </c>
      <c r="D153" s="19" t="s">
        <v>45</v>
      </c>
      <c r="E153" s="19" t="s">
        <v>246</v>
      </c>
      <c r="F153" s="19" t="s">
        <v>247</v>
      </c>
      <c r="G153" s="19"/>
      <c r="H153" s="65">
        <v>140</v>
      </c>
    </row>
    <row r="154" spans="1:8" ht="14.45" x14ac:dyDescent="0.25">
      <c r="A154" s="19" t="s">
        <v>16</v>
      </c>
      <c r="B154" s="64">
        <v>46147</v>
      </c>
      <c r="C154" s="64">
        <v>46148</v>
      </c>
      <c r="D154" s="19" t="s">
        <v>42</v>
      </c>
      <c r="E154" s="19" t="s">
        <v>248</v>
      </c>
      <c r="F154" s="19" t="s">
        <v>249</v>
      </c>
      <c r="G154" s="19"/>
      <c r="H154" s="65">
        <v>18</v>
      </c>
    </row>
    <row r="155" spans="1:8" x14ac:dyDescent="0.25">
      <c r="A155" s="19" t="s">
        <v>250</v>
      </c>
      <c r="B155" s="64">
        <v>46148</v>
      </c>
      <c r="C155" s="64">
        <v>46150</v>
      </c>
      <c r="D155" s="19" t="s">
        <v>10</v>
      </c>
      <c r="E155" s="19" t="s">
        <v>251</v>
      </c>
      <c r="F155" s="19" t="s">
        <v>252</v>
      </c>
      <c r="G155" s="19">
        <v>16250</v>
      </c>
      <c r="H155" s="65">
        <v>400</v>
      </c>
    </row>
    <row r="156" spans="1:8" ht="14.45" x14ac:dyDescent="0.25">
      <c r="A156" s="19" t="s">
        <v>245</v>
      </c>
      <c r="B156" s="64">
        <v>46148</v>
      </c>
      <c r="C156" s="64">
        <v>46148</v>
      </c>
      <c r="D156" s="19" t="s">
        <v>10</v>
      </c>
      <c r="E156" s="19" t="s">
        <v>253</v>
      </c>
      <c r="F156" s="19" t="s">
        <v>254</v>
      </c>
      <c r="G156" s="19"/>
      <c r="H156" s="65">
        <v>50</v>
      </c>
    </row>
    <row r="157" spans="1:8" ht="14.45" x14ac:dyDescent="0.25">
      <c r="A157" s="19" t="s">
        <v>255</v>
      </c>
      <c r="B157" s="64">
        <v>46148</v>
      </c>
      <c r="C157" s="64">
        <v>46148</v>
      </c>
      <c r="D157" s="19" t="s">
        <v>10</v>
      </c>
      <c r="E157" s="19" t="s">
        <v>256</v>
      </c>
      <c r="F157" s="19" t="s">
        <v>257</v>
      </c>
      <c r="G157" s="19"/>
      <c r="H157" s="65">
        <v>80</v>
      </c>
    </row>
    <row r="158" spans="1:8" ht="14.45" x14ac:dyDescent="0.25">
      <c r="A158" s="19" t="s">
        <v>21</v>
      </c>
      <c r="B158" s="64">
        <v>46148</v>
      </c>
      <c r="C158" s="64">
        <v>46148</v>
      </c>
      <c r="D158" s="19" t="s">
        <v>10</v>
      </c>
      <c r="E158" s="19" t="s">
        <v>258</v>
      </c>
      <c r="F158" s="19" t="s">
        <v>191</v>
      </c>
      <c r="G158" s="19">
        <v>1800</v>
      </c>
      <c r="H158" s="65"/>
    </row>
    <row r="159" spans="1:8" x14ac:dyDescent="0.25">
      <c r="A159" s="19" t="s">
        <v>184</v>
      </c>
      <c r="B159" s="64">
        <v>46148</v>
      </c>
      <c r="C159" s="64">
        <v>46148</v>
      </c>
      <c r="D159" s="19" t="s">
        <v>42</v>
      </c>
      <c r="E159" s="19" t="s">
        <v>259</v>
      </c>
      <c r="F159" s="19" t="s">
        <v>260</v>
      </c>
      <c r="G159" s="19"/>
      <c r="H159" s="65">
        <v>20</v>
      </c>
    </row>
    <row r="160" spans="1:8" ht="14.45" x14ac:dyDescent="0.25">
      <c r="A160" s="19" t="s">
        <v>261</v>
      </c>
      <c r="B160" s="64">
        <v>46148</v>
      </c>
      <c r="C160" s="64">
        <v>46148</v>
      </c>
      <c r="D160" s="19" t="s">
        <v>45</v>
      </c>
      <c r="E160" s="19"/>
      <c r="F160" s="19" t="s">
        <v>262</v>
      </c>
      <c r="G160" s="19"/>
      <c r="H160" s="65">
        <v>50</v>
      </c>
    </row>
    <row r="161" spans="1:8" ht="14.45" x14ac:dyDescent="0.25">
      <c r="A161" s="19" t="s">
        <v>263</v>
      </c>
      <c r="B161" s="64">
        <v>46149</v>
      </c>
      <c r="C161" s="64">
        <v>46149</v>
      </c>
      <c r="D161" s="19" t="s">
        <v>10</v>
      </c>
      <c r="E161" s="19" t="s">
        <v>264</v>
      </c>
      <c r="F161" s="19" t="s">
        <v>265</v>
      </c>
      <c r="G161" s="19">
        <v>3700</v>
      </c>
      <c r="H161" s="65">
        <v>120</v>
      </c>
    </row>
    <row r="162" spans="1:8" ht="14.45" x14ac:dyDescent="0.25">
      <c r="A162" s="19"/>
      <c r="B162" s="64">
        <v>46149</v>
      </c>
      <c r="C162" s="64">
        <v>46150</v>
      </c>
      <c r="D162" s="19" t="s">
        <v>42</v>
      </c>
      <c r="E162" s="19"/>
      <c r="F162" s="19" t="s">
        <v>266</v>
      </c>
      <c r="G162" s="19"/>
      <c r="H162" s="65">
        <v>50</v>
      </c>
    </row>
    <row r="163" spans="1:8" x14ac:dyDescent="0.25">
      <c r="A163" s="19" t="s">
        <v>267</v>
      </c>
      <c r="B163" s="64">
        <v>46150</v>
      </c>
      <c r="C163" s="64">
        <v>46150</v>
      </c>
      <c r="D163" s="19" t="s">
        <v>45</v>
      </c>
      <c r="E163" s="19" t="s">
        <v>268</v>
      </c>
      <c r="F163" s="19" t="s">
        <v>269</v>
      </c>
      <c r="G163" s="19"/>
      <c r="H163" s="65">
        <v>20</v>
      </c>
    </row>
    <row r="164" spans="1:8" x14ac:dyDescent="0.25">
      <c r="A164" s="19" t="s">
        <v>16</v>
      </c>
      <c r="B164" s="64">
        <v>46150</v>
      </c>
      <c r="C164" s="64">
        <v>46150</v>
      </c>
      <c r="D164" s="19" t="s">
        <v>42</v>
      </c>
      <c r="E164" s="19" t="s">
        <v>270</v>
      </c>
      <c r="F164" s="19" t="s">
        <v>271</v>
      </c>
      <c r="G164" s="19"/>
      <c r="H164" s="65">
        <v>20</v>
      </c>
    </row>
    <row r="165" spans="1:8" ht="14.45" x14ac:dyDescent="0.25">
      <c r="A165" s="19" t="s">
        <v>9</v>
      </c>
      <c r="B165" s="64">
        <v>46153</v>
      </c>
      <c r="C165" s="64">
        <v>46153</v>
      </c>
      <c r="D165" s="19" t="s">
        <v>10</v>
      </c>
      <c r="E165" s="19" t="s">
        <v>272</v>
      </c>
      <c r="F165" s="19" t="s">
        <v>260</v>
      </c>
      <c r="G165" s="19"/>
      <c r="H165" s="65">
        <v>100</v>
      </c>
    </row>
    <row r="166" spans="1:8" ht="14.45" x14ac:dyDescent="0.25">
      <c r="A166" s="19" t="s">
        <v>250</v>
      </c>
      <c r="B166" s="64">
        <v>46153</v>
      </c>
      <c r="C166" s="64">
        <v>46153</v>
      </c>
      <c r="D166" s="19" t="s">
        <v>42</v>
      </c>
      <c r="E166" s="19" t="s">
        <v>273</v>
      </c>
      <c r="F166" s="19" t="s">
        <v>274</v>
      </c>
      <c r="G166" s="19"/>
      <c r="H166" s="65">
        <v>400</v>
      </c>
    </row>
    <row r="167" spans="1:8" ht="14.45" x14ac:dyDescent="0.25">
      <c r="A167" s="19" t="s">
        <v>275</v>
      </c>
      <c r="B167" s="64">
        <v>46154</v>
      </c>
      <c r="C167" s="64">
        <v>46155</v>
      </c>
      <c r="D167" s="19" t="s">
        <v>45</v>
      </c>
      <c r="E167" s="19"/>
      <c r="F167" s="19" t="s">
        <v>85</v>
      </c>
      <c r="G167" s="19"/>
      <c r="H167" s="65">
        <v>50</v>
      </c>
    </row>
    <row r="168" spans="1:8" ht="14.45" x14ac:dyDescent="0.25">
      <c r="A168" s="19" t="s">
        <v>18</v>
      </c>
      <c r="B168" s="64">
        <v>46154</v>
      </c>
      <c r="C168" s="64">
        <v>46154</v>
      </c>
      <c r="D168" s="19" t="s">
        <v>10</v>
      </c>
      <c r="E168" s="19"/>
      <c r="F168" s="19" t="s">
        <v>276</v>
      </c>
      <c r="G168" s="19"/>
      <c r="H168" s="65">
        <v>100</v>
      </c>
    </row>
    <row r="169" spans="1:8" ht="14.45" x14ac:dyDescent="0.25">
      <c r="A169" s="19" t="s">
        <v>21</v>
      </c>
      <c r="B169" s="64">
        <v>46154</v>
      </c>
      <c r="C169" s="64">
        <v>46154</v>
      </c>
      <c r="D169" s="19" t="s">
        <v>42</v>
      </c>
      <c r="E169" s="19" t="s">
        <v>277</v>
      </c>
      <c r="F169" s="19" t="s">
        <v>278</v>
      </c>
      <c r="G169" s="19"/>
      <c r="H169" s="65">
        <v>50</v>
      </c>
    </row>
    <row r="170" spans="1:8" ht="14.45" x14ac:dyDescent="0.25">
      <c r="A170" s="19" t="s">
        <v>279</v>
      </c>
      <c r="B170" s="64">
        <v>46155</v>
      </c>
      <c r="C170" s="64">
        <v>46155</v>
      </c>
      <c r="D170" s="19" t="s">
        <v>10</v>
      </c>
      <c r="E170" s="19"/>
      <c r="F170" s="19" t="s">
        <v>262</v>
      </c>
      <c r="G170" s="19"/>
      <c r="H170" s="65">
        <v>80</v>
      </c>
    </row>
    <row r="171" spans="1:8" ht="14.45" x14ac:dyDescent="0.25">
      <c r="A171" s="19" t="s">
        <v>245</v>
      </c>
      <c r="B171" s="64">
        <v>46156</v>
      </c>
      <c r="C171" s="64">
        <v>46156</v>
      </c>
      <c r="D171" s="19" t="s">
        <v>42</v>
      </c>
      <c r="E171" s="19" t="s">
        <v>280</v>
      </c>
      <c r="F171" s="19" t="s">
        <v>281</v>
      </c>
      <c r="G171" s="19"/>
      <c r="H171" s="65">
        <v>150</v>
      </c>
    </row>
    <row r="172" spans="1:8" x14ac:dyDescent="0.25">
      <c r="A172" s="19" t="s">
        <v>282</v>
      </c>
      <c r="B172" s="64">
        <v>46156</v>
      </c>
      <c r="C172" s="64">
        <v>46156</v>
      </c>
      <c r="D172" s="19" t="s">
        <v>42</v>
      </c>
      <c r="E172" s="19" t="s">
        <v>283</v>
      </c>
      <c r="F172" s="19" t="s">
        <v>284</v>
      </c>
      <c r="G172" s="19"/>
      <c r="H172" s="65">
        <v>40</v>
      </c>
    </row>
    <row r="173" spans="1:8" ht="14.45" x14ac:dyDescent="0.25">
      <c r="A173" s="19" t="s">
        <v>22</v>
      </c>
      <c r="B173" s="64">
        <v>46156</v>
      </c>
      <c r="C173" s="64">
        <v>46156</v>
      </c>
      <c r="D173" s="19" t="s">
        <v>42</v>
      </c>
      <c r="E173" s="19"/>
      <c r="F173" s="19" t="s">
        <v>285</v>
      </c>
      <c r="G173" s="19"/>
      <c r="H173" s="65">
        <v>23</v>
      </c>
    </row>
    <row r="174" spans="1:8" ht="14.45" x14ac:dyDescent="0.25">
      <c r="A174" s="19" t="s">
        <v>282</v>
      </c>
      <c r="B174" s="64">
        <v>46156</v>
      </c>
      <c r="C174" s="64">
        <v>46156</v>
      </c>
      <c r="D174" s="19" t="s">
        <v>45</v>
      </c>
      <c r="E174" s="19" t="s">
        <v>286</v>
      </c>
      <c r="F174" s="19" t="s">
        <v>287</v>
      </c>
      <c r="G174" s="19"/>
      <c r="H174" s="65">
        <v>20</v>
      </c>
    </row>
    <row r="175" spans="1:8" ht="14.45" x14ac:dyDescent="0.25">
      <c r="A175" s="19" t="s">
        <v>288</v>
      </c>
      <c r="B175" s="64">
        <v>46158</v>
      </c>
      <c r="C175" s="64">
        <v>46158</v>
      </c>
      <c r="D175" s="19" t="s">
        <v>45</v>
      </c>
      <c r="E175" s="19" t="s">
        <v>289</v>
      </c>
      <c r="F175" s="19" t="s">
        <v>290</v>
      </c>
      <c r="G175" s="19"/>
      <c r="H175" s="65">
        <v>500</v>
      </c>
    </row>
    <row r="176" spans="1:8" ht="14.45" x14ac:dyDescent="0.25">
      <c r="A176" s="19" t="s">
        <v>232</v>
      </c>
      <c r="B176" s="64">
        <v>46158</v>
      </c>
      <c r="C176" s="64">
        <v>46158</v>
      </c>
      <c r="D176" s="19" t="s">
        <v>42</v>
      </c>
      <c r="E176" s="19" t="s">
        <v>291</v>
      </c>
      <c r="F176" s="19" t="s">
        <v>292</v>
      </c>
      <c r="G176" s="19"/>
      <c r="H176" s="65">
        <v>100</v>
      </c>
    </row>
    <row r="177" spans="1:8" ht="14.45" x14ac:dyDescent="0.25">
      <c r="A177" s="19" t="s">
        <v>18</v>
      </c>
      <c r="B177" s="64">
        <v>46159</v>
      </c>
      <c r="C177" s="64">
        <v>46159</v>
      </c>
      <c r="D177" s="19" t="s">
        <v>42</v>
      </c>
      <c r="E177" s="19" t="s">
        <v>293</v>
      </c>
      <c r="F177" s="19" t="s">
        <v>294</v>
      </c>
      <c r="G177" s="19"/>
      <c r="H177" s="65">
        <v>500</v>
      </c>
    </row>
    <row r="178" spans="1:8" x14ac:dyDescent="0.25">
      <c r="A178" s="19" t="s">
        <v>9</v>
      </c>
      <c r="B178" s="64">
        <v>46160</v>
      </c>
      <c r="C178" s="64">
        <v>46160</v>
      </c>
      <c r="D178" s="19" t="s">
        <v>42</v>
      </c>
      <c r="E178" s="19" t="s">
        <v>295</v>
      </c>
      <c r="F178" s="19" t="s">
        <v>296</v>
      </c>
      <c r="G178" s="19"/>
      <c r="H178" s="65">
        <v>26</v>
      </c>
    </row>
    <row r="179" spans="1:8" ht="14.45" x14ac:dyDescent="0.25">
      <c r="A179" s="19" t="s">
        <v>22</v>
      </c>
      <c r="B179" s="64">
        <v>46160</v>
      </c>
      <c r="C179" s="64">
        <v>46160</v>
      </c>
      <c r="D179" s="19" t="s">
        <v>10</v>
      </c>
      <c r="E179" s="19"/>
      <c r="F179" s="19" t="s">
        <v>297</v>
      </c>
      <c r="G179" s="19">
        <v>1200</v>
      </c>
      <c r="H179" s="65">
        <v>40</v>
      </c>
    </row>
    <row r="180" spans="1:8" ht="14.45" x14ac:dyDescent="0.25">
      <c r="A180" s="19" t="s">
        <v>298</v>
      </c>
      <c r="B180" s="64">
        <v>46160</v>
      </c>
      <c r="C180" s="64">
        <v>46161</v>
      </c>
      <c r="D180" s="19" t="s">
        <v>10</v>
      </c>
      <c r="E180" s="19" t="s">
        <v>299</v>
      </c>
      <c r="F180" s="19" t="s">
        <v>300</v>
      </c>
      <c r="G180" s="19">
        <v>5500</v>
      </c>
      <c r="H180" s="65">
        <v>150</v>
      </c>
    </row>
    <row r="181" spans="1:8" x14ac:dyDescent="0.25">
      <c r="A181" s="19" t="s">
        <v>267</v>
      </c>
      <c r="B181" s="64">
        <v>46162</v>
      </c>
      <c r="C181" s="64">
        <v>46162</v>
      </c>
      <c r="D181" s="19" t="s">
        <v>45</v>
      </c>
      <c r="E181" s="19" t="s">
        <v>301</v>
      </c>
      <c r="F181" s="19" t="s">
        <v>302</v>
      </c>
      <c r="G181" s="19"/>
      <c r="H181" s="65"/>
    </row>
    <row r="182" spans="1:8" ht="14.45" x14ac:dyDescent="0.25">
      <c r="A182" s="19" t="s">
        <v>9</v>
      </c>
      <c r="B182" s="64">
        <v>46162</v>
      </c>
      <c r="C182" s="64">
        <v>46162</v>
      </c>
      <c r="D182" s="19" t="s">
        <v>45</v>
      </c>
      <c r="E182" s="19" t="s">
        <v>303</v>
      </c>
      <c r="F182" s="19" t="s">
        <v>304</v>
      </c>
      <c r="G182" s="19"/>
      <c r="H182" s="65">
        <v>30</v>
      </c>
    </row>
    <row r="183" spans="1:8" x14ac:dyDescent="0.25">
      <c r="A183" s="19" t="s">
        <v>305</v>
      </c>
      <c r="B183" s="64">
        <v>46163</v>
      </c>
      <c r="C183" s="64">
        <v>46163</v>
      </c>
      <c r="D183" s="19" t="s">
        <v>10</v>
      </c>
      <c r="E183" s="19" t="s">
        <v>306</v>
      </c>
      <c r="F183" s="19" t="s">
        <v>307</v>
      </c>
      <c r="G183" s="19">
        <v>4000</v>
      </c>
      <c r="H183" s="65">
        <v>100</v>
      </c>
    </row>
    <row r="184" spans="1:8" x14ac:dyDescent="0.25">
      <c r="A184" s="19" t="s">
        <v>18</v>
      </c>
      <c r="B184" s="64">
        <v>46163</v>
      </c>
      <c r="C184" s="64">
        <v>46163</v>
      </c>
      <c r="D184" s="19" t="s">
        <v>42</v>
      </c>
      <c r="E184" s="19" t="s">
        <v>308</v>
      </c>
      <c r="F184" s="19" t="s">
        <v>309</v>
      </c>
      <c r="G184" s="19"/>
      <c r="H184" s="65">
        <v>300</v>
      </c>
    </row>
    <row r="185" spans="1:8" ht="14.45" x14ac:dyDescent="0.25">
      <c r="A185" s="19" t="s">
        <v>310</v>
      </c>
      <c r="B185" s="64">
        <v>46164</v>
      </c>
      <c r="C185" s="64">
        <v>46166</v>
      </c>
      <c r="D185" s="19" t="s">
        <v>10</v>
      </c>
      <c r="E185" s="19" t="s">
        <v>311</v>
      </c>
      <c r="F185" s="19" t="s">
        <v>312</v>
      </c>
      <c r="G185" s="19">
        <v>29050</v>
      </c>
      <c r="H185" s="65">
        <v>500</v>
      </c>
    </row>
    <row r="186" spans="1:8" ht="14.45" x14ac:dyDescent="0.25">
      <c r="A186" s="19" t="s">
        <v>313</v>
      </c>
      <c r="B186" s="64">
        <v>46164</v>
      </c>
      <c r="C186" s="64">
        <v>46164</v>
      </c>
      <c r="D186" s="19" t="s">
        <v>45</v>
      </c>
      <c r="E186" s="19"/>
      <c r="F186" s="19" t="s">
        <v>314</v>
      </c>
      <c r="G186" s="19"/>
      <c r="H186" s="65">
        <v>50</v>
      </c>
    </row>
    <row r="187" spans="1:8" ht="28.9" x14ac:dyDescent="0.25">
      <c r="A187" s="19" t="s">
        <v>315</v>
      </c>
      <c r="B187" s="64">
        <v>46167</v>
      </c>
      <c r="C187" s="64">
        <v>46171</v>
      </c>
      <c r="D187" s="19" t="s">
        <v>10</v>
      </c>
      <c r="E187" s="66" t="s">
        <v>316</v>
      </c>
      <c r="F187" s="19" t="s">
        <v>317</v>
      </c>
      <c r="G187" s="19">
        <v>35100</v>
      </c>
      <c r="H187" s="65"/>
    </row>
    <row r="188" spans="1:8" ht="14.45" x14ac:dyDescent="0.25">
      <c r="A188" s="19" t="s">
        <v>52</v>
      </c>
      <c r="B188" s="64">
        <v>46168</v>
      </c>
      <c r="C188" s="64">
        <v>46169</v>
      </c>
      <c r="D188" s="19" t="s">
        <v>42</v>
      </c>
      <c r="E188" s="19"/>
      <c r="F188" s="19" t="s">
        <v>318</v>
      </c>
      <c r="G188" s="19"/>
      <c r="H188" s="65">
        <v>150</v>
      </c>
    </row>
    <row r="189" spans="1:8" ht="14.45" x14ac:dyDescent="0.25">
      <c r="A189" s="19" t="s">
        <v>319</v>
      </c>
      <c r="B189" s="64">
        <v>46169</v>
      </c>
      <c r="C189" s="64">
        <v>46170</v>
      </c>
      <c r="D189" s="19" t="s">
        <v>42</v>
      </c>
      <c r="E189" s="19" t="s">
        <v>320</v>
      </c>
      <c r="F189" s="19" t="s">
        <v>321</v>
      </c>
      <c r="G189" s="19"/>
      <c r="H189" s="65">
        <v>125</v>
      </c>
    </row>
    <row r="190" spans="1:8" x14ac:dyDescent="0.25">
      <c r="A190" s="19"/>
      <c r="B190" s="64">
        <v>46170</v>
      </c>
      <c r="C190" s="64">
        <v>46171</v>
      </c>
      <c r="D190" s="19" t="s">
        <v>42</v>
      </c>
      <c r="E190" s="19" t="s">
        <v>322</v>
      </c>
      <c r="F190" s="19" t="s">
        <v>323</v>
      </c>
      <c r="G190" s="19"/>
      <c r="H190" s="65">
        <v>200</v>
      </c>
    </row>
    <row r="191" spans="1:8" ht="14.45" x14ac:dyDescent="0.25">
      <c r="A191" s="19" t="s">
        <v>52</v>
      </c>
      <c r="B191" s="64">
        <v>46170</v>
      </c>
      <c r="C191" s="64">
        <v>46170</v>
      </c>
      <c r="D191" s="19" t="s">
        <v>42</v>
      </c>
      <c r="E191" s="19" t="s">
        <v>324</v>
      </c>
      <c r="F191" s="19" t="s">
        <v>325</v>
      </c>
      <c r="G191" s="19"/>
      <c r="H191" s="65">
        <v>200</v>
      </c>
    </row>
    <row r="192" spans="1:8" ht="14.45" x14ac:dyDescent="0.25">
      <c r="A192" s="19" t="s">
        <v>326</v>
      </c>
      <c r="B192" s="64">
        <v>46176</v>
      </c>
      <c r="C192" s="64">
        <v>46179</v>
      </c>
      <c r="D192" s="19" t="s">
        <v>10</v>
      </c>
      <c r="E192" s="19" t="s">
        <v>327</v>
      </c>
      <c r="F192" s="19" t="s">
        <v>328</v>
      </c>
      <c r="G192" s="19">
        <v>40600</v>
      </c>
      <c r="H192" s="65">
        <v>800</v>
      </c>
    </row>
    <row r="193" spans="1:8" ht="14.45" x14ac:dyDescent="0.25">
      <c r="A193" s="19" t="s">
        <v>16</v>
      </c>
      <c r="B193" s="64">
        <v>46177</v>
      </c>
      <c r="C193" s="64">
        <v>46177</v>
      </c>
      <c r="D193" s="19" t="s">
        <v>42</v>
      </c>
      <c r="E193" s="19" t="s">
        <v>329</v>
      </c>
      <c r="F193" s="19" t="s">
        <v>330</v>
      </c>
      <c r="G193" s="19"/>
      <c r="H193" s="65"/>
    </row>
    <row r="194" spans="1:8" x14ac:dyDescent="0.25">
      <c r="A194" s="19" t="s">
        <v>9</v>
      </c>
      <c r="B194" s="64">
        <v>46179</v>
      </c>
      <c r="C194" s="64">
        <v>46179</v>
      </c>
      <c r="D194" s="19" t="s">
        <v>42</v>
      </c>
      <c r="E194" s="19" t="s">
        <v>331</v>
      </c>
      <c r="F194" s="19" t="s">
        <v>332</v>
      </c>
      <c r="G194" s="19"/>
      <c r="H194" s="65">
        <v>50</v>
      </c>
    </row>
    <row r="195" spans="1:8" x14ac:dyDescent="0.25">
      <c r="A195" s="19" t="s">
        <v>227</v>
      </c>
      <c r="B195" s="64">
        <v>46182</v>
      </c>
      <c r="C195" s="64">
        <v>46182</v>
      </c>
      <c r="D195" s="19" t="s">
        <v>45</v>
      </c>
      <c r="E195" s="19"/>
      <c r="F195" s="19" t="s">
        <v>333</v>
      </c>
      <c r="G195" s="19"/>
      <c r="H195" s="65">
        <v>400</v>
      </c>
    </row>
    <row r="196" spans="1:8" x14ac:dyDescent="0.25">
      <c r="A196" s="19" t="s">
        <v>52</v>
      </c>
      <c r="B196" s="64">
        <v>46182</v>
      </c>
      <c r="C196" s="64">
        <v>46182</v>
      </c>
      <c r="D196" s="19" t="s">
        <v>42</v>
      </c>
      <c r="E196" s="19" t="s">
        <v>334</v>
      </c>
      <c r="F196" s="19" t="s">
        <v>335</v>
      </c>
      <c r="G196" s="19"/>
      <c r="H196" s="65">
        <v>100</v>
      </c>
    </row>
    <row r="197" spans="1:8" x14ac:dyDescent="0.25">
      <c r="A197" s="19" t="s">
        <v>336</v>
      </c>
      <c r="B197" s="64">
        <v>46183</v>
      </c>
      <c r="C197" s="64">
        <v>46186</v>
      </c>
      <c r="D197" s="19" t="s">
        <v>10</v>
      </c>
      <c r="E197" s="19" t="s">
        <v>337</v>
      </c>
      <c r="F197" s="19" t="s">
        <v>338</v>
      </c>
      <c r="G197" s="19">
        <v>30000</v>
      </c>
      <c r="H197" s="65">
        <v>397</v>
      </c>
    </row>
    <row r="198" spans="1:8" x14ac:dyDescent="0.25">
      <c r="A198" s="19" t="s">
        <v>339</v>
      </c>
      <c r="B198" s="64">
        <v>46184</v>
      </c>
      <c r="C198" s="64">
        <v>46186</v>
      </c>
      <c r="D198" s="19" t="s">
        <v>10</v>
      </c>
      <c r="E198" s="19" t="s">
        <v>340</v>
      </c>
      <c r="F198" s="19" t="s">
        <v>341</v>
      </c>
      <c r="G198" s="19">
        <v>2140</v>
      </c>
      <c r="H198" s="65"/>
    </row>
    <row r="199" spans="1:8" x14ac:dyDescent="0.25">
      <c r="A199" s="19" t="s">
        <v>9</v>
      </c>
      <c r="B199" s="64">
        <v>46186</v>
      </c>
      <c r="C199" s="64">
        <v>46186</v>
      </c>
      <c r="D199" s="19" t="s">
        <v>45</v>
      </c>
      <c r="E199" s="19" t="s">
        <v>342</v>
      </c>
      <c r="F199" s="19" t="s">
        <v>343</v>
      </c>
      <c r="G199" s="19"/>
      <c r="H199" s="65">
        <v>150</v>
      </c>
    </row>
    <row r="200" spans="1:8" x14ac:dyDescent="0.25">
      <c r="A200" s="19" t="s">
        <v>22</v>
      </c>
      <c r="B200" s="64">
        <v>46186</v>
      </c>
      <c r="C200" s="64">
        <v>46186</v>
      </c>
      <c r="D200" s="19" t="s">
        <v>45</v>
      </c>
      <c r="E200" s="19" t="s">
        <v>344</v>
      </c>
      <c r="F200" s="19" t="s">
        <v>344</v>
      </c>
      <c r="G200" s="19"/>
      <c r="H200" s="65">
        <v>10</v>
      </c>
    </row>
    <row r="201" spans="1:8" ht="45" x14ac:dyDescent="0.25">
      <c r="A201" s="19" t="s">
        <v>159</v>
      </c>
      <c r="B201" s="64">
        <v>46188</v>
      </c>
      <c r="C201" s="64">
        <v>46190</v>
      </c>
      <c r="D201" s="19" t="s">
        <v>45</v>
      </c>
      <c r="E201" s="66" t="s">
        <v>345</v>
      </c>
      <c r="F201" s="19" t="s">
        <v>346</v>
      </c>
      <c r="G201" s="19"/>
      <c r="H201" s="65"/>
    </row>
    <row r="202" spans="1:8" x14ac:dyDescent="0.25">
      <c r="A202" s="19" t="s">
        <v>18</v>
      </c>
      <c r="B202" s="64">
        <v>46189</v>
      </c>
      <c r="C202" s="64">
        <v>46189</v>
      </c>
      <c r="D202" s="19" t="s">
        <v>42</v>
      </c>
      <c r="E202" s="19"/>
      <c r="F202" s="19" t="s">
        <v>347</v>
      </c>
      <c r="G202" s="19"/>
      <c r="H202" s="65">
        <v>300</v>
      </c>
    </row>
    <row r="203" spans="1:8" x14ac:dyDescent="0.25">
      <c r="A203" s="19" t="s">
        <v>22</v>
      </c>
      <c r="B203" s="64">
        <v>46189</v>
      </c>
      <c r="C203" s="64">
        <v>46190</v>
      </c>
      <c r="D203" s="19" t="s">
        <v>10</v>
      </c>
      <c r="E203" s="19" t="s">
        <v>331</v>
      </c>
      <c r="F203" s="19" t="s">
        <v>332</v>
      </c>
      <c r="G203" s="19"/>
      <c r="H203" s="65">
        <v>50</v>
      </c>
    </row>
    <row r="204" spans="1:8" x14ac:dyDescent="0.25">
      <c r="A204" s="19" t="s">
        <v>18</v>
      </c>
      <c r="B204" s="64">
        <v>46190</v>
      </c>
      <c r="C204" s="64">
        <v>46191</v>
      </c>
      <c r="D204" s="19" t="s">
        <v>10</v>
      </c>
      <c r="E204" s="19" t="s">
        <v>348</v>
      </c>
      <c r="F204" s="19" t="s">
        <v>349</v>
      </c>
      <c r="G204" s="19"/>
      <c r="H204" s="65"/>
    </row>
    <row r="205" spans="1:8" x14ac:dyDescent="0.25">
      <c r="A205" s="19" t="s">
        <v>30</v>
      </c>
      <c r="B205" s="64">
        <v>46192</v>
      </c>
      <c r="C205" s="64">
        <v>46192</v>
      </c>
      <c r="D205" s="19" t="s">
        <v>45</v>
      </c>
      <c r="E205" s="19"/>
      <c r="F205" s="19" t="s">
        <v>350</v>
      </c>
      <c r="G205" s="19"/>
      <c r="H205" s="65">
        <v>150</v>
      </c>
    </row>
    <row r="206" spans="1:8" x14ac:dyDescent="0.25">
      <c r="A206" s="19" t="s">
        <v>18</v>
      </c>
      <c r="B206" s="64">
        <v>46195</v>
      </c>
      <c r="C206" s="64">
        <v>46201</v>
      </c>
      <c r="D206" s="19" t="s">
        <v>45</v>
      </c>
      <c r="E206" s="19"/>
      <c r="F206" s="19" t="s">
        <v>351</v>
      </c>
      <c r="G206" s="19"/>
      <c r="H206" s="65">
        <v>1000</v>
      </c>
    </row>
    <row r="207" spans="1:8" x14ac:dyDescent="0.25">
      <c r="A207" s="19" t="s">
        <v>319</v>
      </c>
      <c r="B207" s="64">
        <v>46195</v>
      </c>
      <c r="C207" s="64">
        <v>46197</v>
      </c>
      <c r="D207" s="19" t="s">
        <v>42</v>
      </c>
      <c r="E207" s="19" t="s">
        <v>352</v>
      </c>
      <c r="F207" s="19" t="s">
        <v>296</v>
      </c>
      <c r="G207" s="19"/>
      <c r="H207" s="65">
        <v>120</v>
      </c>
    </row>
    <row r="208" spans="1:8" x14ac:dyDescent="0.25">
      <c r="A208" s="19" t="s">
        <v>9</v>
      </c>
      <c r="B208" s="64">
        <v>46195</v>
      </c>
      <c r="C208" s="64">
        <v>46195</v>
      </c>
      <c r="D208" s="19" t="s">
        <v>45</v>
      </c>
      <c r="E208" s="19" t="s">
        <v>353</v>
      </c>
      <c r="F208" s="19" t="s">
        <v>354</v>
      </c>
      <c r="G208" s="19"/>
      <c r="H208" s="65">
        <v>40</v>
      </c>
    </row>
    <row r="209" spans="1:8" x14ac:dyDescent="0.25">
      <c r="A209" s="19" t="s">
        <v>18</v>
      </c>
      <c r="B209" s="64">
        <v>46198</v>
      </c>
      <c r="C209" s="64">
        <v>46198</v>
      </c>
      <c r="D209" s="19" t="s">
        <v>10</v>
      </c>
      <c r="E209" s="19"/>
      <c r="F209" s="19" t="s">
        <v>355</v>
      </c>
      <c r="G209" s="19"/>
      <c r="H209" s="65">
        <v>300</v>
      </c>
    </row>
    <row r="210" spans="1:8" x14ac:dyDescent="0.25">
      <c r="A210" s="19" t="s">
        <v>90</v>
      </c>
      <c r="B210" s="64">
        <v>46199</v>
      </c>
      <c r="C210" s="64">
        <v>46200</v>
      </c>
      <c r="D210" s="19" t="s">
        <v>42</v>
      </c>
      <c r="E210" s="19"/>
      <c r="F210" s="19" t="s">
        <v>356</v>
      </c>
      <c r="G210" s="19"/>
      <c r="H210" s="65">
        <v>50</v>
      </c>
    </row>
    <row r="211" spans="1:8" x14ac:dyDescent="0.25">
      <c r="A211" s="19" t="s">
        <v>357</v>
      </c>
      <c r="B211" s="64">
        <v>46201</v>
      </c>
      <c r="C211" s="64">
        <v>46208</v>
      </c>
      <c r="D211" s="19" t="s">
        <v>45</v>
      </c>
      <c r="E211" s="19" t="s">
        <v>358</v>
      </c>
      <c r="F211" s="19" t="s">
        <v>359</v>
      </c>
      <c r="G211" s="19"/>
      <c r="H211" s="65">
        <v>100</v>
      </c>
    </row>
    <row r="212" spans="1:8" x14ac:dyDescent="0.25">
      <c r="A212" s="19" t="s">
        <v>211</v>
      </c>
      <c r="B212" s="64">
        <v>46204</v>
      </c>
      <c r="C212" s="64">
        <v>46205</v>
      </c>
      <c r="D212" s="19" t="s">
        <v>45</v>
      </c>
      <c r="E212" s="19"/>
      <c r="F212" s="19" t="s">
        <v>85</v>
      </c>
      <c r="G212" s="19"/>
      <c r="H212" s="65">
        <v>50</v>
      </c>
    </row>
    <row r="213" spans="1:8" x14ac:dyDescent="0.25">
      <c r="A213" s="19" t="s">
        <v>21</v>
      </c>
      <c r="B213" s="64">
        <v>46206</v>
      </c>
      <c r="C213" s="64">
        <v>46207</v>
      </c>
      <c r="D213" s="19" t="s">
        <v>42</v>
      </c>
      <c r="E213" s="19" t="s">
        <v>360</v>
      </c>
      <c r="F213" s="19" t="s">
        <v>361</v>
      </c>
      <c r="G213" s="19"/>
      <c r="H213" s="65">
        <v>150</v>
      </c>
    </row>
    <row r="214" spans="1:8" x14ac:dyDescent="0.25">
      <c r="A214" s="19"/>
      <c r="B214" s="64">
        <v>46207</v>
      </c>
      <c r="C214" s="64">
        <v>46210</v>
      </c>
      <c r="D214" s="19" t="s">
        <v>42</v>
      </c>
      <c r="E214" s="19" t="s">
        <v>362</v>
      </c>
      <c r="F214" s="19" t="s">
        <v>363</v>
      </c>
      <c r="G214" s="19"/>
      <c r="H214" s="65">
        <v>60</v>
      </c>
    </row>
    <row r="215" spans="1:8" x14ac:dyDescent="0.25">
      <c r="A215" s="19" t="s">
        <v>22</v>
      </c>
      <c r="B215" s="64">
        <v>46207</v>
      </c>
      <c r="C215" s="64">
        <v>46207</v>
      </c>
      <c r="D215" s="19" t="s">
        <v>10</v>
      </c>
      <c r="E215" s="19" t="s">
        <v>364</v>
      </c>
      <c r="F215" s="19" t="s">
        <v>332</v>
      </c>
      <c r="G215" s="19"/>
      <c r="H215" s="65">
        <v>50</v>
      </c>
    </row>
    <row r="216" spans="1:8" x14ac:dyDescent="0.25">
      <c r="A216" s="19" t="s">
        <v>365</v>
      </c>
      <c r="B216" s="64">
        <v>46208</v>
      </c>
      <c r="C216" s="64">
        <v>46210</v>
      </c>
      <c r="D216" s="19" t="s">
        <v>42</v>
      </c>
      <c r="E216" s="19" t="s">
        <v>366</v>
      </c>
      <c r="F216" s="19" t="s">
        <v>363</v>
      </c>
      <c r="G216" s="19"/>
      <c r="H216" s="65">
        <v>100</v>
      </c>
    </row>
    <row r="217" spans="1:8" x14ac:dyDescent="0.25">
      <c r="A217" s="19" t="s">
        <v>288</v>
      </c>
      <c r="B217" s="64">
        <v>46209</v>
      </c>
      <c r="C217" s="64">
        <v>46210</v>
      </c>
      <c r="D217" s="19" t="s">
        <v>45</v>
      </c>
      <c r="E217" s="19"/>
      <c r="F217" s="19" t="s">
        <v>367</v>
      </c>
      <c r="G217" s="19"/>
      <c r="H217" s="65">
        <v>700</v>
      </c>
    </row>
    <row r="218" spans="1:8" x14ac:dyDescent="0.25">
      <c r="A218" s="19" t="s">
        <v>288</v>
      </c>
      <c r="B218" s="64">
        <v>46212</v>
      </c>
      <c r="C218" s="64">
        <v>46215</v>
      </c>
      <c r="D218" s="19" t="s">
        <v>45</v>
      </c>
      <c r="E218" s="19"/>
      <c r="F218" s="19" t="s">
        <v>368</v>
      </c>
      <c r="G218" s="19">
        <v>3000</v>
      </c>
      <c r="H218" s="65">
        <v>400</v>
      </c>
    </row>
    <row r="219" spans="1:8" x14ac:dyDescent="0.25">
      <c r="A219" s="19" t="s">
        <v>9</v>
      </c>
      <c r="B219" s="64">
        <v>46213</v>
      </c>
      <c r="C219" s="64">
        <v>46213</v>
      </c>
      <c r="D219" s="19" t="s">
        <v>10</v>
      </c>
      <c r="E219" s="19" t="s">
        <v>258</v>
      </c>
      <c r="F219" s="19" t="s">
        <v>191</v>
      </c>
      <c r="G219" s="19"/>
      <c r="H219" s="65">
        <v>100</v>
      </c>
    </row>
    <row r="220" spans="1:8" ht="60" x14ac:dyDescent="0.25">
      <c r="A220" s="19" t="s">
        <v>245</v>
      </c>
      <c r="B220" s="64">
        <v>46216</v>
      </c>
      <c r="C220" s="64">
        <v>46218</v>
      </c>
      <c r="D220" s="19" t="s">
        <v>45</v>
      </c>
      <c r="E220" s="66" t="s">
        <v>369</v>
      </c>
      <c r="F220" s="19" t="s">
        <v>370</v>
      </c>
      <c r="G220" s="19"/>
      <c r="H220" s="65"/>
    </row>
    <row r="221" spans="1:8" x14ac:dyDescent="0.25">
      <c r="A221" s="19" t="s">
        <v>18</v>
      </c>
      <c r="B221" s="64">
        <v>46220</v>
      </c>
      <c r="C221" s="64">
        <v>46222</v>
      </c>
      <c r="D221" s="19" t="s">
        <v>45</v>
      </c>
      <c r="E221" s="19" t="s">
        <v>371</v>
      </c>
      <c r="F221" s="19" t="s">
        <v>89</v>
      </c>
      <c r="G221" s="19"/>
      <c r="H221" s="65">
        <v>100</v>
      </c>
    </row>
    <row r="222" spans="1:8" x14ac:dyDescent="0.25">
      <c r="A222" s="19" t="s">
        <v>21</v>
      </c>
      <c r="B222" s="64">
        <v>46221</v>
      </c>
      <c r="C222" s="64">
        <v>46221</v>
      </c>
      <c r="D222" s="19" t="s">
        <v>10</v>
      </c>
      <c r="E222" s="19" t="s">
        <v>372</v>
      </c>
      <c r="F222" s="19" t="s">
        <v>373</v>
      </c>
      <c r="G222" s="19"/>
      <c r="H222" s="65">
        <v>60</v>
      </c>
    </row>
    <row r="223" spans="1:8" x14ac:dyDescent="0.25">
      <c r="A223" s="19" t="s">
        <v>374</v>
      </c>
      <c r="B223" s="64">
        <v>46232</v>
      </c>
      <c r="C223" s="64">
        <v>46234</v>
      </c>
      <c r="D223" s="19" t="s">
        <v>45</v>
      </c>
      <c r="E223" s="19" t="s">
        <v>375</v>
      </c>
      <c r="F223" s="19" t="s">
        <v>376</v>
      </c>
      <c r="G223" s="19"/>
      <c r="H223" s="65"/>
    </row>
    <row r="224" spans="1:8" x14ac:dyDescent="0.25">
      <c r="A224" s="19" t="s">
        <v>21</v>
      </c>
      <c r="B224" s="64">
        <v>46234</v>
      </c>
      <c r="C224" s="64">
        <v>46235</v>
      </c>
      <c r="D224" s="19" t="s">
        <v>45</v>
      </c>
      <c r="E224" s="19" t="s">
        <v>377</v>
      </c>
      <c r="F224" s="19" t="s">
        <v>378</v>
      </c>
      <c r="G224" s="19"/>
      <c r="H224" s="65">
        <v>200</v>
      </c>
    </row>
    <row r="225" spans="1:8" x14ac:dyDescent="0.25">
      <c r="A225" s="19" t="s">
        <v>208</v>
      </c>
      <c r="B225" s="64">
        <v>46237</v>
      </c>
      <c r="C225" s="64">
        <v>46238</v>
      </c>
      <c r="D225" s="19" t="s">
        <v>45</v>
      </c>
      <c r="E225" s="19" t="s">
        <v>379</v>
      </c>
      <c r="F225" s="19" t="s">
        <v>380</v>
      </c>
      <c r="G225" s="19"/>
      <c r="H225" s="65">
        <v>600</v>
      </c>
    </row>
    <row r="226" spans="1:8" x14ac:dyDescent="0.25">
      <c r="A226" s="19" t="s">
        <v>381</v>
      </c>
      <c r="B226" s="64">
        <v>46239</v>
      </c>
      <c r="C226" s="64">
        <v>46241</v>
      </c>
      <c r="D226" s="19" t="s">
        <v>10</v>
      </c>
      <c r="E226" s="19" t="s">
        <v>382</v>
      </c>
      <c r="F226" s="19" t="s">
        <v>203</v>
      </c>
      <c r="G226" s="19">
        <v>10000</v>
      </c>
      <c r="H226" s="65">
        <v>400</v>
      </c>
    </row>
    <row r="227" spans="1:8" x14ac:dyDescent="0.25">
      <c r="A227" s="19" t="s">
        <v>52</v>
      </c>
      <c r="B227" s="64">
        <v>46239</v>
      </c>
      <c r="C227" s="64">
        <v>46239</v>
      </c>
      <c r="D227" s="19" t="s">
        <v>42</v>
      </c>
      <c r="E227" s="19" t="s">
        <v>383</v>
      </c>
      <c r="F227" s="19" t="s">
        <v>335</v>
      </c>
      <c r="G227" s="19"/>
      <c r="H227" s="65">
        <v>100</v>
      </c>
    </row>
    <row r="228" spans="1:8" x14ac:dyDescent="0.25">
      <c r="A228" s="19" t="s">
        <v>52</v>
      </c>
      <c r="B228" s="64">
        <v>46240</v>
      </c>
      <c r="C228" s="64">
        <v>46240</v>
      </c>
      <c r="D228" s="19" t="s">
        <v>10</v>
      </c>
      <c r="E228" s="19" t="s">
        <v>258</v>
      </c>
      <c r="F228" s="19" t="s">
        <v>191</v>
      </c>
      <c r="G228" s="19"/>
      <c r="H228" s="65">
        <v>100</v>
      </c>
    </row>
    <row r="229" spans="1:8" x14ac:dyDescent="0.25">
      <c r="A229" s="19" t="s">
        <v>384</v>
      </c>
      <c r="B229" s="64">
        <v>46241</v>
      </c>
      <c r="C229" s="64">
        <v>46241</v>
      </c>
      <c r="D229" s="19" t="s">
        <v>45</v>
      </c>
      <c r="E229" s="19" t="s">
        <v>385</v>
      </c>
      <c r="F229" s="19" t="s">
        <v>386</v>
      </c>
      <c r="G229" s="19"/>
      <c r="H229" s="65">
        <v>300</v>
      </c>
    </row>
    <row r="230" spans="1:8" x14ac:dyDescent="0.25">
      <c r="A230" s="19" t="s">
        <v>52</v>
      </c>
      <c r="B230" s="64">
        <v>46242</v>
      </c>
      <c r="C230" s="64">
        <v>46243</v>
      </c>
      <c r="D230" s="19" t="s">
        <v>42</v>
      </c>
      <c r="E230" s="19"/>
      <c r="F230" s="19" t="s">
        <v>387</v>
      </c>
      <c r="G230" s="19"/>
      <c r="H230" s="65">
        <v>150</v>
      </c>
    </row>
    <row r="231" spans="1:8" x14ac:dyDescent="0.25">
      <c r="A231" s="19" t="s">
        <v>18</v>
      </c>
      <c r="B231" s="64">
        <v>46245</v>
      </c>
      <c r="C231" s="64">
        <v>46245</v>
      </c>
      <c r="D231" s="19" t="s">
        <v>10</v>
      </c>
      <c r="E231" s="19"/>
      <c r="F231" s="19" t="s">
        <v>157</v>
      </c>
      <c r="G231" s="19"/>
      <c r="H231" s="65">
        <v>60</v>
      </c>
    </row>
    <row r="232" spans="1:8" x14ac:dyDescent="0.25">
      <c r="A232" s="19" t="s">
        <v>388</v>
      </c>
      <c r="B232" s="64">
        <v>46246</v>
      </c>
      <c r="C232" s="64">
        <v>46248</v>
      </c>
      <c r="D232" s="19" t="s">
        <v>42</v>
      </c>
      <c r="E232" s="19" t="s">
        <v>389</v>
      </c>
      <c r="F232" s="19" t="s">
        <v>296</v>
      </c>
      <c r="G232" s="19"/>
      <c r="H232" s="65">
        <v>300</v>
      </c>
    </row>
    <row r="233" spans="1:8" x14ac:dyDescent="0.25">
      <c r="A233" s="19" t="s">
        <v>18</v>
      </c>
      <c r="B233" s="64">
        <v>46246</v>
      </c>
      <c r="C233" s="64">
        <v>46246</v>
      </c>
      <c r="D233" s="19" t="s">
        <v>45</v>
      </c>
      <c r="E233" s="19"/>
      <c r="F233" s="19" t="s">
        <v>390</v>
      </c>
      <c r="G233" s="19"/>
      <c r="H233" s="65">
        <v>800</v>
      </c>
    </row>
    <row r="234" spans="1:8" x14ac:dyDescent="0.25">
      <c r="A234" s="19" t="s">
        <v>391</v>
      </c>
      <c r="B234" s="64">
        <v>46247</v>
      </c>
      <c r="C234" s="64">
        <v>46248</v>
      </c>
      <c r="D234" s="19" t="s">
        <v>10</v>
      </c>
      <c r="E234" s="19" t="s">
        <v>392</v>
      </c>
      <c r="F234" s="19" t="s">
        <v>203</v>
      </c>
      <c r="G234" s="19">
        <v>8000</v>
      </c>
      <c r="H234" s="65">
        <v>300</v>
      </c>
    </row>
    <row r="235" spans="1:8" x14ac:dyDescent="0.25">
      <c r="A235" s="19" t="s">
        <v>393</v>
      </c>
      <c r="B235" s="64">
        <v>46247</v>
      </c>
      <c r="C235" s="64">
        <v>46250</v>
      </c>
      <c r="D235" s="19" t="s">
        <v>10</v>
      </c>
      <c r="E235" s="19" t="s">
        <v>394</v>
      </c>
      <c r="F235" s="19" t="s">
        <v>395</v>
      </c>
      <c r="G235" s="19"/>
      <c r="H235" s="65">
        <v>800</v>
      </c>
    </row>
    <row r="236" spans="1:8" x14ac:dyDescent="0.25">
      <c r="A236" s="19" t="s">
        <v>18</v>
      </c>
      <c r="B236" s="64">
        <v>46248</v>
      </c>
      <c r="C236" s="64">
        <v>46248</v>
      </c>
      <c r="D236" s="19" t="s">
        <v>42</v>
      </c>
      <c r="E236" s="19" t="s">
        <v>53</v>
      </c>
      <c r="F236" s="19" t="s">
        <v>396</v>
      </c>
      <c r="G236" s="19"/>
      <c r="H236" s="65">
        <v>350</v>
      </c>
    </row>
    <row r="237" spans="1:8" x14ac:dyDescent="0.25">
      <c r="A237" s="19" t="s">
        <v>9</v>
      </c>
      <c r="B237" s="64">
        <v>46249</v>
      </c>
      <c r="C237" s="64">
        <v>46249</v>
      </c>
      <c r="D237" s="19" t="s">
        <v>10</v>
      </c>
      <c r="E237" s="19" t="s">
        <v>364</v>
      </c>
      <c r="F237" s="19" t="s">
        <v>332</v>
      </c>
      <c r="G237" s="19"/>
      <c r="H237" s="65">
        <v>50</v>
      </c>
    </row>
    <row r="238" spans="1:8" x14ac:dyDescent="0.25">
      <c r="A238" s="19" t="s">
        <v>397</v>
      </c>
      <c r="B238" s="64">
        <v>46253</v>
      </c>
      <c r="C238" s="64">
        <v>46255</v>
      </c>
      <c r="D238" s="19" t="s">
        <v>10</v>
      </c>
      <c r="E238" s="19" t="s">
        <v>398</v>
      </c>
      <c r="F238" s="19" t="s">
        <v>399</v>
      </c>
      <c r="G238" s="19"/>
      <c r="H238" s="65">
        <v>500</v>
      </c>
    </row>
    <row r="239" spans="1:8" x14ac:dyDescent="0.25">
      <c r="A239" s="19" t="s">
        <v>21</v>
      </c>
      <c r="B239" s="64">
        <v>46255</v>
      </c>
      <c r="C239" s="64">
        <v>46255</v>
      </c>
      <c r="D239" s="19" t="s">
        <v>45</v>
      </c>
      <c r="E239" s="19" t="s">
        <v>400</v>
      </c>
      <c r="F239" s="19" t="s">
        <v>401</v>
      </c>
      <c r="G239" s="19"/>
      <c r="H239" s="65">
        <v>70</v>
      </c>
    </row>
    <row r="240" spans="1:8" x14ac:dyDescent="0.25">
      <c r="A240" s="19" t="s">
        <v>9</v>
      </c>
      <c r="B240" s="64">
        <v>46256</v>
      </c>
      <c r="C240" s="64">
        <v>46256</v>
      </c>
      <c r="D240" s="19" t="s">
        <v>10</v>
      </c>
      <c r="E240" s="19" t="s">
        <v>331</v>
      </c>
      <c r="F240" s="19" t="s">
        <v>332</v>
      </c>
      <c r="G240" s="19"/>
      <c r="H240" s="65">
        <v>50</v>
      </c>
    </row>
    <row r="241" spans="1:8" x14ac:dyDescent="0.25">
      <c r="A241" s="19" t="s">
        <v>402</v>
      </c>
      <c r="B241" s="64">
        <v>46256</v>
      </c>
      <c r="C241" s="64">
        <v>46257</v>
      </c>
      <c r="D241" s="19" t="s">
        <v>42</v>
      </c>
      <c r="E241" s="19" t="s">
        <v>403</v>
      </c>
      <c r="F241" s="19" t="s">
        <v>404</v>
      </c>
      <c r="G241" s="19"/>
      <c r="H241" s="65">
        <v>100</v>
      </c>
    </row>
    <row r="242" spans="1:8" x14ac:dyDescent="0.25">
      <c r="A242" s="19" t="s">
        <v>405</v>
      </c>
      <c r="B242" s="64">
        <v>46258</v>
      </c>
      <c r="C242" s="64">
        <v>46260</v>
      </c>
      <c r="D242" s="19" t="s">
        <v>42</v>
      </c>
      <c r="E242" s="19" t="s">
        <v>406</v>
      </c>
      <c r="F242" s="19" t="s">
        <v>407</v>
      </c>
      <c r="G242" s="19"/>
      <c r="H242" s="65">
        <v>250</v>
      </c>
    </row>
    <row r="243" spans="1:8" x14ac:dyDescent="0.25">
      <c r="A243" s="19" t="s">
        <v>408</v>
      </c>
      <c r="B243" s="64">
        <v>46259</v>
      </c>
      <c r="C243" s="64">
        <v>46260</v>
      </c>
      <c r="D243" s="19" t="s">
        <v>45</v>
      </c>
      <c r="E243" s="19"/>
      <c r="F243" s="19" t="s">
        <v>85</v>
      </c>
      <c r="G243" s="19"/>
      <c r="H243" s="65">
        <v>50</v>
      </c>
    </row>
    <row r="244" spans="1:8" x14ac:dyDescent="0.25">
      <c r="A244" s="19" t="s">
        <v>22</v>
      </c>
      <c r="B244" s="64">
        <v>46259</v>
      </c>
      <c r="C244" s="64">
        <v>46260</v>
      </c>
      <c r="D244" s="19" t="s">
        <v>10</v>
      </c>
      <c r="E244" s="19" t="s">
        <v>364</v>
      </c>
      <c r="F244" s="19" t="s">
        <v>332</v>
      </c>
      <c r="G244" s="19"/>
      <c r="H244" s="65">
        <v>50</v>
      </c>
    </row>
    <row r="245" spans="1:8" x14ac:dyDescent="0.25">
      <c r="A245" s="19" t="s">
        <v>232</v>
      </c>
      <c r="B245" s="64">
        <v>46260</v>
      </c>
      <c r="C245" s="64">
        <v>46260</v>
      </c>
      <c r="D245" s="19" t="s">
        <v>42</v>
      </c>
      <c r="E245" s="19" t="s">
        <v>409</v>
      </c>
      <c r="F245" s="19" t="s">
        <v>410</v>
      </c>
      <c r="G245" s="19"/>
      <c r="H245" s="65">
        <v>60</v>
      </c>
    </row>
    <row r="246" spans="1:8" x14ac:dyDescent="0.25">
      <c r="A246" s="19"/>
      <c r="B246" s="64">
        <v>46261</v>
      </c>
      <c r="C246" s="64">
        <v>46262</v>
      </c>
      <c r="D246" s="19" t="s">
        <v>42</v>
      </c>
      <c r="E246" s="19" t="s">
        <v>411</v>
      </c>
      <c r="F246" s="19" t="s">
        <v>412</v>
      </c>
      <c r="G246" s="19"/>
      <c r="H246" s="65">
        <v>150</v>
      </c>
    </row>
    <row r="247" spans="1:8" x14ac:dyDescent="0.25">
      <c r="A247" s="19" t="s">
        <v>413</v>
      </c>
      <c r="B247" s="64">
        <v>46261</v>
      </c>
      <c r="C247" s="64">
        <v>46262</v>
      </c>
      <c r="D247" s="19" t="s">
        <v>45</v>
      </c>
      <c r="E247" s="19" t="s">
        <v>414</v>
      </c>
      <c r="F247" s="19" t="s">
        <v>203</v>
      </c>
      <c r="G247" s="19"/>
      <c r="H247" s="65">
        <v>150</v>
      </c>
    </row>
    <row r="248" spans="1:8" x14ac:dyDescent="0.25">
      <c r="A248" s="19" t="s">
        <v>22</v>
      </c>
      <c r="B248" s="64">
        <v>46261</v>
      </c>
      <c r="C248" s="64">
        <v>46261</v>
      </c>
      <c r="D248" s="19" t="s">
        <v>42</v>
      </c>
      <c r="E248" s="19" t="s">
        <v>415</v>
      </c>
      <c r="F248" s="19" t="s">
        <v>335</v>
      </c>
      <c r="G248" s="19"/>
      <c r="H248" s="65">
        <v>40</v>
      </c>
    </row>
    <row r="249" spans="1:8" x14ac:dyDescent="0.25">
      <c r="A249" s="19" t="s">
        <v>416</v>
      </c>
      <c r="B249" s="64">
        <v>46261</v>
      </c>
      <c r="C249" s="64">
        <v>46261</v>
      </c>
      <c r="D249" s="19" t="s">
        <v>10</v>
      </c>
      <c r="E249" s="19" t="s">
        <v>417</v>
      </c>
      <c r="F249" s="19" t="s">
        <v>67</v>
      </c>
      <c r="G249" s="19"/>
      <c r="H249" s="65">
        <v>250</v>
      </c>
    </row>
    <row r="250" spans="1:8" ht="45" x14ac:dyDescent="0.25">
      <c r="A250" s="19" t="s">
        <v>418</v>
      </c>
      <c r="B250" s="64">
        <v>46266</v>
      </c>
      <c r="C250" s="64">
        <v>46268</v>
      </c>
      <c r="D250" s="19" t="s">
        <v>10</v>
      </c>
      <c r="E250" s="66" t="s">
        <v>419</v>
      </c>
      <c r="F250" s="19" t="s">
        <v>420</v>
      </c>
      <c r="G250" s="19">
        <v>40000</v>
      </c>
      <c r="H250" s="65"/>
    </row>
    <row r="251" spans="1:8" x14ac:dyDescent="0.25">
      <c r="A251" s="19" t="s">
        <v>421</v>
      </c>
      <c r="B251" s="64">
        <v>46269</v>
      </c>
      <c r="C251" s="64">
        <v>46271</v>
      </c>
      <c r="D251" s="19" t="s">
        <v>10</v>
      </c>
      <c r="E251" s="19"/>
      <c r="F251" s="19" t="s">
        <v>422</v>
      </c>
      <c r="G251" s="19">
        <v>20000</v>
      </c>
      <c r="H251" s="65">
        <v>700</v>
      </c>
    </row>
    <row r="252" spans="1:8" ht="60" x14ac:dyDescent="0.25">
      <c r="A252" s="19" t="s">
        <v>423</v>
      </c>
      <c r="B252" s="64">
        <v>46272</v>
      </c>
      <c r="C252" s="64">
        <v>46275</v>
      </c>
      <c r="D252" s="19" t="s">
        <v>42</v>
      </c>
      <c r="E252" s="66" t="s">
        <v>424</v>
      </c>
      <c r="F252" s="19" t="s">
        <v>425</v>
      </c>
      <c r="G252" s="19"/>
      <c r="H252" s="65">
        <v>130</v>
      </c>
    </row>
    <row r="253" spans="1:8" x14ac:dyDescent="0.25">
      <c r="A253" s="19" t="s">
        <v>9</v>
      </c>
      <c r="B253" s="64">
        <v>46275</v>
      </c>
      <c r="C253" s="64">
        <v>46276</v>
      </c>
      <c r="D253" s="19" t="s">
        <v>45</v>
      </c>
      <c r="E253" s="19" t="s">
        <v>426</v>
      </c>
      <c r="F253" s="19" t="s">
        <v>203</v>
      </c>
      <c r="G253" s="19"/>
      <c r="H253" s="65"/>
    </row>
    <row r="254" spans="1:8" x14ac:dyDescent="0.25">
      <c r="A254" s="19" t="s">
        <v>18</v>
      </c>
      <c r="B254" s="64">
        <v>46275</v>
      </c>
      <c r="C254" s="64">
        <v>46275</v>
      </c>
      <c r="D254" s="19" t="s">
        <v>42</v>
      </c>
      <c r="E254" s="19" t="s">
        <v>427</v>
      </c>
      <c r="F254" s="19" t="s">
        <v>428</v>
      </c>
      <c r="G254" s="19"/>
      <c r="H254" s="65">
        <v>300</v>
      </c>
    </row>
    <row r="255" spans="1:8" x14ac:dyDescent="0.25">
      <c r="A255" s="19" t="s">
        <v>18</v>
      </c>
      <c r="B255" s="64">
        <v>46275</v>
      </c>
      <c r="C255" s="64">
        <v>46275</v>
      </c>
      <c r="D255" s="19" t="s">
        <v>42</v>
      </c>
      <c r="E255" s="19" t="s">
        <v>293</v>
      </c>
      <c r="F255" s="19" t="s">
        <v>294</v>
      </c>
      <c r="G255" s="19"/>
      <c r="H255" s="65">
        <v>500</v>
      </c>
    </row>
    <row r="256" spans="1:8" x14ac:dyDescent="0.25">
      <c r="A256" s="19" t="s">
        <v>429</v>
      </c>
      <c r="B256" s="64">
        <v>46276</v>
      </c>
      <c r="C256" s="64">
        <v>46278</v>
      </c>
      <c r="D256" s="19" t="s">
        <v>10</v>
      </c>
      <c r="E256" s="19" t="s">
        <v>364</v>
      </c>
      <c r="F256" s="19" t="s">
        <v>332</v>
      </c>
      <c r="G256" s="19"/>
      <c r="H256" s="65">
        <v>50</v>
      </c>
    </row>
    <row r="257" spans="1:8" x14ac:dyDescent="0.25">
      <c r="A257" s="19" t="s">
        <v>430</v>
      </c>
      <c r="B257" s="64">
        <v>46279</v>
      </c>
      <c r="C257" s="64">
        <v>46280</v>
      </c>
      <c r="D257" s="19" t="s">
        <v>10</v>
      </c>
      <c r="E257" s="19" t="s">
        <v>431</v>
      </c>
      <c r="F257" s="19" t="s">
        <v>432</v>
      </c>
      <c r="G257" s="19"/>
      <c r="H257" s="65">
        <v>300</v>
      </c>
    </row>
    <row r="258" spans="1:8" x14ac:dyDescent="0.25">
      <c r="A258" s="19" t="s">
        <v>433</v>
      </c>
      <c r="B258" s="64">
        <v>46281</v>
      </c>
      <c r="C258" s="64">
        <v>46283</v>
      </c>
      <c r="D258" s="19" t="s">
        <v>10</v>
      </c>
      <c r="E258" s="19" t="s">
        <v>434</v>
      </c>
      <c r="F258" s="19" t="s">
        <v>435</v>
      </c>
      <c r="G258" s="19">
        <v>22000</v>
      </c>
      <c r="H258" s="65">
        <v>600</v>
      </c>
    </row>
    <row r="259" spans="1:8" x14ac:dyDescent="0.25">
      <c r="A259" s="19" t="s">
        <v>436</v>
      </c>
      <c r="B259" s="64">
        <v>46284</v>
      </c>
      <c r="C259" s="64">
        <v>46285</v>
      </c>
      <c r="D259" s="19" t="s">
        <v>10</v>
      </c>
      <c r="E259" s="19" t="s">
        <v>437</v>
      </c>
      <c r="F259" s="19" t="s">
        <v>27</v>
      </c>
      <c r="G259" s="19">
        <v>2000</v>
      </c>
      <c r="H259" s="65">
        <v>500</v>
      </c>
    </row>
    <row r="260" spans="1:8" x14ac:dyDescent="0.25">
      <c r="A260" s="19" t="s">
        <v>438</v>
      </c>
      <c r="B260" s="64">
        <v>46286</v>
      </c>
      <c r="C260" s="64">
        <v>46291</v>
      </c>
      <c r="D260" s="19" t="s">
        <v>10</v>
      </c>
      <c r="E260" s="19" t="s">
        <v>439</v>
      </c>
      <c r="F260" s="19" t="s">
        <v>440</v>
      </c>
      <c r="G260" s="19">
        <v>45000</v>
      </c>
      <c r="H260" s="65">
        <v>1000</v>
      </c>
    </row>
    <row r="261" spans="1:8" x14ac:dyDescent="0.25">
      <c r="A261" s="19"/>
      <c r="B261" s="64">
        <v>46290</v>
      </c>
      <c r="C261" s="64">
        <v>46293</v>
      </c>
      <c r="D261" s="19" t="s">
        <v>45</v>
      </c>
      <c r="E261" s="19" t="s">
        <v>441</v>
      </c>
      <c r="F261" s="19" t="s">
        <v>442</v>
      </c>
      <c r="G261" s="19"/>
      <c r="H261" s="65">
        <v>100</v>
      </c>
    </row>
    <row r="262" spans="1:8" x14ac:dyDescent="0.25">
      <c r="A262" s="19" t="s">
        <v>288</v>
      </c>
      <c r="B262" s="64">
        <v>46292</v>
      </c>
      <c r="C262" s="64">
        <v>46295</v>
      </c>
      <c r="D262" s="19" t="s">
        <v>42</v>
      </c>
      <c r="E262" s="19"/>
      <c r="F262" s="19" t="s">
        <v>443</v>
      </c>
      <c r="G262" s="19"/>
      <c r="H262" s="65">
        <v>500</v>
      </c>
    </row>
    <row r="263" spans="1:8" x14ac:dyDescent="0.25">
      <c r="A263" s="19" t="s">
        <v>275</v>
      </c>
      <c r="B263" s="64">
        <v>46294</v>
      </c>
      <c r="C263" s="64">
        <v>46295</v>
      </c>
      <c r="D263" s="19" t="s">
        <v>45</v>
      </c>
      <c r="E263" s="19"/>
      <c r="F263" s="19" t="s">
        <v>85</v>
      </c>
      <c r="G263" s="19"/>
      <c r="H263" s="65">
        <v>40</v>
      </c>
    </row>
    <row r="264" spans="1:8" x14ac:dyDescent="0.25">
      <c r="A264" s="19" t="s">
        <v>444</v>
      </c>
      <c r="B264" s="64">
        <v>46296</v>
      </c>
      <c r="C264" s="64">
        <v>46298</v>
      </c>
      <c r="D264" s="19" t="s">
        <v>10</v>
      </c>
      <c r="E264" s="19" t="s">
        <v>445</v>
      </c>
      <c r="F264" s="19" t="s">
        <v>203</v>
      </c>
      <c r="G264" s="19">
        <v>12000</v>
      </c>
      <c r="H264" s="65">
        <v>300</v>
      </c>
    </row>
    <row r="265" spans="1:8" x14ac:dyDescent="0.25">
      <c r="A265" s="19" t="s">
        <v>18</v>
      </c>
      <c r="B265" s="64">
        <v>46302</v>
      </c>
      <c r="C265" s="64">
        <v>46302</v>
      </c>
      <c r="D265" s="19" t="s">
        <v>45</v>
      </c>
      <c r="E265" s="19" t="s">
        <v>446</v>
      </c>
      <c r="F265" s="19" t="s">
        <v>447</v>
      </c>
      <c r="G265" s="19"/>
      <c r="H265" s="65">
        <v>500</v>
      </c>
    </row>
    <row r="266" spans="1:8" ht="30" x14ac:dyDescent="0.25">
      <c r="A266" s="19" t="s">
        <v>448</v>
      </c>
      <c r="B266" s="64">
        <v>46304</v>
      </c>
      <c r="C266" s="64">
        <v>46306</v>
      </c>
      <c r="D266" s="19" t="s">
        <v>10</v>
      </c>
      <c r="E266" s="66" t="s">
        <v>449</v>
      </c>
      <c r="F266" s="19" t="s">
        <v>450</v>
      </c>
      <c r="G266" s="19">
        <v>19680</v>
      </c>
      <c r="H266" s="65">
        <v>300</v>
      </c>
    </row>
    <row r="267" spans="1:8" x14ac:dyDescent="0.25">
      <c r="A267" s="19" t="s">
        <v>9</v>
      </c>
      <c r="B267" s="64">
        <v>46305</v>
      </c>
      <c r="C267" s="64">
        <v>46305</v>
      </c>
      <c r="D267" s="19" t="s">
        <v>10</v>
      </c>
      <c r="E267" s="19" t="s">
        <v>364</v>
      </c>
      <c r="F267" s="19" t="s">
        <v>332</v>
      </c>
      <c r="G267" s="19"/>
      <c r="H267" s="65">
        <v>50</v>
      </c>
    </row>
    <row r="268" spans="1:8" ht="30" x14ac:dyDescent="0.25">
      <c r="A268" s="19" t="s">
        <v>451</v>
      </c>
      <c r="B268" s="64">
        <v>46306</v>
      </c>
      <c r="C268" s="64">
        <v>46313</v>
      </c>
      <c r="D268" s="19" t="s">
        <v>45</v>
      </c>
      <c r="E268" s="66" t="s">
        <v>452</v>
      </c>
      <c r="F268" s="19" t="s">
        <v>453</v>
      </c>
      <c r="G268" s="19"/>
      <c r="H268" s="65">
        <v>70</v>
      </c>
    </row>
    <row r="269" spans="1:8" x14ac:dyDescent="0.25">
      <c r="A269" s="19" t="s">
        <v>413</v>
      </c>
      <c r="B269" s="64">
        <v>46310</v>
      </c>
      <c r="C269" s="64">
        <v>46311</v>
      </c>
      <c r="D269" s="19" t="s">
        <v>10</v>
      </c>
      <c r="E269" s="19" t="s">
        <v>454</v>
      </c>
      <c r="F269" s="19" t="s">
        <v>203</v>
      </c>
      <c r="G269" s="19">
        <v>4000</v>
      </c>
      <c r="H269" s="65">
        <v>200</v>
      </c>
    </row>
    <row r="270" spans="1:8" x14ac:dyDescent="0.25">
      <c r="A270" s="19" t="s">
        <v>455</v>
      </c>
      <c r="B270" s="64">
        <v>46314</v>
      </c>
      <c r="C270" s="64">
        <v>46317</v>
      </c>
      <c r="D270" s="19" t="s">
        <v>42</v>
      </c>
      <c r="E270" s="19"/>
      <c r="F270" s="19" t="s">
        <v>456</v>
      </c>
      <c r="G270" s="19"/>
      <c r="H270" s="65"/>
    </row>
    <row r="271" spans="1:8" x14ac:dyDescent="0.25">
      <c r="A271" s="19" t="s">
        <v>457</v>
      </c>
      <c r="B271" s="64">
        <v>46316</v>
      </c>
      <c r="C271" s="64">
        <v>46319</v>
      </c>
      <c r="D271" s="19" t="s">
        <v>10</v>
      </c>
      <c r="E271" s="19" t="s">
        <v>458</v>
      </c>
      <c r="F271" s="19" t="s">
        <v>459</v>
      </c>
      <c r="G271" s="19">
        <v>19500</v>
      </c>
      <c r="H271" s="65">
        <v>400</v>
      </c>
    </row>
    <row r="272" spans="1:8" x14ac:dyDescent="0.25">
      <c r="A272" s="19" t="s">
        <v>52</v>
      </c>
      <c r="B272" s="64">
        <v>46316</v>
      </c>
      <c r="C272" s="64">
        <v>46316</v>
      </c>
      <c r="D272" s="19" t="s">
        <v>45</v>
      </c>
      <c r="E272" s="19" t="s">
        <v>460</v>
      </c>
      <c r="F272" s="19" t="s">
        <v>335</v>
      </c>
      <c r="G272" s="19"/>
      <c r="H272" s="65">
        <v>100</v>
      </c>
    </row>
    <row r="273" spans="1:8" x14ac:dyDescent="0.25">
      <c r="A273" s="19" t="s">
        <v>461</v>
      </c>
      <c r="B273" s="64">
        <v>46318</v>
      </c>
      <c r="C273" s="64">
        <v>46320</v>
      </c>
      <c r="D273" s="19" t="s">
        <v>42</v>
      </c>
      <c r="E273" s="19" t="s">
        <v>462</v>
      </c>
      <c r="F273" s="19" t="s">
        <v>463</v>
      </c>
      <c r="G273" s="19"/>
      <c r="H273" s="65">
        <v>200</v>
      </c>
    </row>
    <row r="274" spans="1:8" x14ac:dyDescent="0.25">
      <c r="A274" s="19" t="s">
        <v>18</v>
      </c>
      <c r="B274" s="64">
        <v>46320</v>
      </c>
      <c r="C274" s="64">
        <v>46320</v>
      </c>
      <c r="D274" s="19" t="s">
        <v>45</v>
      </c>
      <c r="E274" s="19" t="s">
        <v>464</v>
      </c>
      <c r="F274" s="19" t="s">
        <v>465</v>
      </c>
      <c r="G274" s="19"/>
      <c r="H274" s="65">
        <v>300</v>
      </c>
    </row>
    <row r="275" spans="1:8" x14ac:dyDescent="0.25">
      <c r="A275" s="19" t="s">
        <v>18</v>
      </c>
      <c r="B275" s="64">
        <v>46321</v>
      </c>
      <c r="C275" s="64">
        <v>46321</v>
      </c>
      <c r="D275" s="19" t="s">
        <v>42</v>
      </c>
      <c r="E275" s="19" t="s">
        <v>293</v>
      </c>
      <c r="F275" s="19" t="s">
        <v>294</v>
      </c>
      <c r="G275" s="19"/>
      <c r="H275" s="65">
        <v>500</v>
      </c>
    </row>
    <row r="276" spans="1:8" x14ac:dyDescent="0.25">
      <c r="A276" s="19" t="s">
        <v>245</v>
      </c>
      <c r="B276" s="64">
        <v>46322</v>
      </c>
      <c r="C276" s="64">
        <v>46323</v>
      </c>
      <c r="D276" s="19" t="s">
        <v>45</v>
      </c>
      <c r="E276" s="19" t="s">
        <v>466</v>
      </c>
      <c r="F276" s="19" t="s">
        <v>467</v>
      </c>
      <c r="G276" s="19"/>
      <c r="H276" s="65">
        <v>120</v>
      </c>
    </row>
    <row r="277" spans="1:8" ht="30" x14ac:dyDescent="0.25">
      <c r="A277" s="19" t="s">
        <v>18</v>
      </c>
      <c r="B277" s="64">
        <v>46323</v>
      </c>
      <c r="C277" s="64">
        <v>46323</v>
      </c>
      <c r="D277" s="19" t="s">
        <v>10</v>
      </c>
      <c r="E277" s="66" t="s">
        <v>468</v>
      </c>
      <c r="F277" s="19" t="s">
        <v>300</v>
      </c>
      <c r="G277" s="19">
        <v>6500</v>
      </c>
      <c r="H277" s="65">
        <v>300</v>
      </c>
    </row>
    <row r="278" spans="1:8" x14ac:dyDescent="0.25">
      <c r="A278" s="19" t="s">
        <v>469</v>
      </c>
      <c r="B278" s="64">
        <v>46324</v>
      </c>
      <c r="C278" s="64">
        <v>46326</v>
      </c>
      <c r="D278" s="19" t="s">
        <v>10</v>
      </c>
      <c r="E278" s="19" t="s">
        <v>470</v>
      </c>
      <c r="F278" s="19" t="s">
        <v>471</v>
      </c>
      <c r="G278" s="19">
        <v>23000</v>
      </c>
      <c r="H278" s="65">
        <v>700</v>
      </c>
    </row>
    <row r="279" spans="1:8" x14ac:dyDescent="0.25">
      <c r="A279" s="19" t="s">
        <v>21</v>
      </c>
      <c r="B279" s="64">
        <v>46326</v>
      </c>
      <c r="C279" s="64">
        <v>46326</v>
      </c>
      <c r="D279" s="19" t="s">
        <v>10</v>
      </c>
      <c r="E279" s="19" t="s">
        <v>472</v>
      </c>
      <c r="F279" s="19" t="s">
        <v>15</v>
      </c>
      <c r="G279" s="19"/>
      <c r="H279" s="65">
        <v>80</v>
      </c>
    </row>
    <row r="280" spans="1:8" x14ac:dyDescent="0.25">
      <c r="A280" s="19" t="s">
        <v>473</v>
      </c>
      <c r="B280" s="64">
        <v>46328</v>
      </c>
      <c r="C280" s="64">
        <v>46330</v>
      </c>
      <c r="D280" s="19" t="s">
        <v>10</v>
      </c>
      <c r="E280" s="19" t="s">
        <v>474</v>
      </c>
      <c r="F280" s="19" t="s">
        <v>67</v>
      </c>
      <c r="G280" s="19"/>
      <c r="H280" s="65"/>
    </row>
    <row r="281" spans="1:8" x14ac:dyDescent="0.25">
      <c r="A281" s="19" t="s">
        <v>232</v>
      </c>
      <c r="B281" s="64">
        <v>46329</v>
      </c>
      <c r="C281" s="64">
        <v>46330</v>
      </c>
      <c r="D281" s="19" t="s">
        <v>45</v>
      </c>
      <c r="E281" s="19"/>
      <c r="F281" s="19" t="s">
        <v>85</v>
      </c>
      <c r="G281" s="19"/>
      <c r="H281" s="65">
        <v>50</v>
      </c>
    </row>
    <row r="282" spans="1:8" x14ac:dyDescent="0.25">
      <c r="A282" s="19" t="s">
        <v>18</v>
      </c>
      <c r="B282" s="64">
        <v>46331</v>
      </c>
      <c r="C282" s="64">
        <v>46333</v>
      </c>
      <c r="D282" s="19" t="s">
        <v>10</v>
      </c>
      <c r="E282" s="19"/>
      <c r="F282" s="19" t="s">
        <v>475</v>
      </c>
      <c r="G282" s="19"/>
      <c r="H282" s="65"/>
    </row>
    <row r="283" spans="1:8" x14ac:dyDescent="0.25">
      <c r="A283" s="19" t="s">
        <v>52</v>
      </c>
      <c r="B283" s="64">
        <v>46331</v>
      </c>
      <c r="C283" s="64">
        <v>46333</v>
      </c>
      <c r="D283" s="19" t="s">
        <v>10</v>
      </c>
      <c r="E283" s="19"/>
      <c r="F283" s="19" t="s">
        <v>203</v>
      </c>
      <c r="G283" s="19"/>
      <c r="H283" s="65"/>
    </row>
    <row r="284" spans="1:8" x14ac:dyDescent="0.25">
      <c r="A284" s="19" t="s">
        <v>21</v>
      </c>
      <c r="B284" s="64">
        <v>46332</v>
      </c>
      <c r="C284" s="64">
        <v>46332</v>
      </c>
      <c r="D284" s="19" t="s">
        <v>42</v>
      </c>
      <c r="E284" s="19" t="s">
        <v>476</v>
      </c>
      <c r="F284" s="19" t="s">
        <v>477</v>
      </c>
      <c r="G284" s="19"/>
      <c r="H284" s="65">
        <v>100</v>
      </c>
    </row>
    <row r="285" spans="1:8" x14ac:dyDescent="0.25">
      <c r="A285" s="19" t="s">
        <v>9</v>
      </c>
      <c r="B285" s="64">
        <v>46333</v>
      </c>
      <c r="C285" s="64">
        <v>46333</v>
      </c>
      <c r="D285" s="19" t="s">
        <v>10</v>
      </c>
      <c r="E285" s="19" t="s">
        <v>364</v>
      </c>
      <c r="F285" s="19" t="s">
        <v>332</v>
      </c>
      <c r="G285" s="19"/>
      <c r="H285" s="65">
        <v>50</v>
      </c>
    </row>
    <row r="286" spans="1:8" x14ac:dyDescent="0.25">
      <c r="A286" s="19" t="s">
        <v>18</v>
      </c>
      <c r="B286" s="64">
        <v>46336</v>
      </c>
      <c r="C286" s="64">
        <v>46337</v>
      </c>
      <c r="D286" s="19" t="s">
        <v>45</v>
      </c>
      <c r="E286" s="19"/>
      <c r="F286" s="19" t="s">
        <v>355</v>
      </c>
      <c r="G286" s="19"/>
      <c r="H286" s="65">
        <v>200</v>
      </c>
    </row>
    <row r="287" spans="1:8" x14ac:dyDescent="0.25">
      <c r="A287" s="19" t="s">
        <v>245</v>
      </c>
      <c r="B287" s="64">
        <v>46336</v>
      </c>
      <c r="C287" s="64">
        <v>46337</v>
      </c>
      <c r="D287" s="19" t="s">
        <v>42</v>
      </c>
      <c r="E287" s="19" t="s">
        <v>215</v>
      </c>
      <c r="F287" s="19" t="s">
        <v>478</v>
      </c>
      <c r="G287" s="19"/>
      <c r="H287" s="65">
        <v>250</v>
      </c>
    </row>
    <row r="288" spans="1:8" x14ac:dyDescent="0.25">
      <c r="A288" s="19" t="s">
        <v>479</v>
      </c>
      <c r="B288" s="64">
        <v>46338</v>
      </c>
      <c r="C288" s="64">
        <v>46339</v>
      </c>
      <c r="D288" s="19" t="s">
        <v>45</v>
      </c>
      <c r="E288" s="19" t="s">
        <v>480</v>
      </c>
      <c r="F288" s="19" t="s">
        <v>203</v>
      </c>
      <c r="G288" s="19"/>
      <c r="H288" s="65">
        <v>500</v>
      </c>
    </row>
    <row r="289" spans="1:8" x14ac:dyDescent="0.25">
      <c r="A289" s="19" t="s">
        <v>374</v>
      </c>
      <c r="B289" s="64">
        <v>46340</v>
      </c>
      <c r="C289" s="64">
        <v>46340</v>
      </c>
      <c r="D289" s="19" t="s">
        <v>10</v>
      </c>
      <c r="E289" s="19" t="s">
        <v>481</v>
      </c>
      <c r="F289" s="19" t="s">
        <v>482</v>
      </c>
      <c r="G289" s="19">
        <v>4000</v>
      </c>
      <c r="H289" s="65">
        <v>500</v>
      </c>
    </row>
    <row r="290" spans="1:8" x14ac:dyDescent="0.25">
      <c r="A290" s="19" t="s">
        <v>18</v>
      </c>
      <c r="B290" s="64">
        <v>46343</v>
      </c>
      <c r="C290" s="64">
        <v>46344</v>
      </c>
      <c r="D290" s="19" t="s">
        <v>45</v>
      </c>
      <c r="E290" s="19"/>
      <c r="F290" s="19" t="s">
        <v>355</v>
      </c>
      <c r="G290" s="19"/>
      <c r="H290" s="65">
        <v>200</v>
      </c>
    </row>
    <row r="291" spans="1:8" x14ac:dyDescent="0.25">
      <c r="A291" s="19" t="s">
        <v>483</v>
      </c>
      <c r="B291" s="64">
        <v>46345</v>
      </c>
      <c r="C291" s="64">
        <v>46348</v>
      </c>
      <c r="D291" s="19" t="s">
        <v>10</v>
      </c>
      <c r="E291" s="19" t="s">
        <v>484</v>
      </c>
      <c r="F291" s="19" t="s">
        <v>485</v>
      </c>
      <c r="G291" s="19">
        <v>26950</v>
      </c>
      <c r="H291" s="65">
        <v>800</v>
      </c>
    </row>
    <row r="292" spans="1:8" x14ac:dyDescent="0.25">
      <c r="A292" s="19" t="s">
        <v>18</v>
      </c>
      <c r="B292" s="64">
        <v>46350</v>
      </c>
      <c r="C292" s="64">
        <v>46350</v>
      </c>
      <c r="D292" s="19" t="s">
        <v>42</v>
      </c>
      <c r="E292" s="19" t="s">
        <v>486</v>
      </c>
      <c r="F292" s="19" t="s">
        <v>294</v>
      </c>
      <c r="G292" s="19"/>
      <c r="H292" s="65">
        <v>800</v>
      </c>
    </row>
    <row r="293" spans="1:8" x14ac:dyDescent="0.25">
      <c r="A293" s="19" t="s">
        <v>250</v>
      </c>
      <c r="B293" s="64">
        <v>46351</v>
      </c>
      <c r="C293" s="64">
        <v>46351</v>
      </c>
      <c r="D293" s="19" t="s">
        <v>45</v>
      </c>
      <c r="E293" s="19" t="s">
        <v>487</v>
      </c>
      <c r="F293" s="19" t="s">
        <v>488</v>
      </c>
      <c r="G293" s="19"/>
      <c r="H293" s="65">
        <v>300</v>
      </c>
    </row>
    <row r="294" spans="1:8" x14ac:dyDescent="0.25">
      <c r="A294" s="19" t="s">
        <v>489</v>
      </c>
      <c r="B294" s="64">
        <v>46352</v>
      </c>
      <c r="C294" s="64">
        <v>46357</v>
      </c>
      <c r="D294" s="19" t="s">
        <v>45</v>
      </c>
      <c r="E294" s="19"/>
      <c r="F294" s="19" t="s">
        <v>490</v>
      </c>
      <c r="G294" s="19"/>
      <c r="H294" s="65">
        <v>1000</v>
      </c>
    </row>
    <row r="295" spans="1:8" x14ac:dyDescent="0.25">
      <c r="A295" s="19" t="s">
        <v>18</v>
      </c>
      <c r="B295" s="64">
        <v>46360</v>
      </c>
      <c r="C295" s="64">
        <v>46361</v>
      </c>
      <c r="D295" s="19" t="s">
        <v>10</v>
      </c>
      <c r="E295" s="19" t="s">
        <v>491</v>
      </c>
      <c r="F295" s="19" t="s">
        <v>492</v>
      </c>
      <c r="G295" s="19"/>
      <c r="H295" s="65">
        <v>300</v>
      </c>
    </row>
    <row r="296" spans="1:8" x14ac:dyDescent="0.25">
      <c r="A296" t="s">
        <v>423</v>
      </c>
      <c r="B296" s="55">
        <v>46367</v>
      </c>
      <c r="C296" s="55">
        <v>46367</v>
      </c>
      <c r="D296" t="s">
        <v>42</v>
      </c>
      <c r="E296" t="s">
        <v>493</v>
      </c>
      <c r="F296" t="s">
        <v>494</v>
      </c>
    </row>
  </sheetData>
  <dataValidations count="1">
    <dataValidation allowBlank="1" showInputMessage="1" showErrorMessage="1" sqref="F1 G2:G3 G187:G1048576" xr:uid="{F7144148-ED37-4EDF-971F-83B3220205ED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9CB9-E2B8-4C30-B717-25EAE5B7D306}">
  <dimension ref="A2:AO160"/>
  <sheetViews>
    <sheetView tabSelected="1" zoomScale="80" zoomScaleNormal="80" workbookViewId="0">
      <pane xSplit="2" topLeftCell="F1" activePane="topRight" state="frozen"/>
      <selection pane="topRight" activeCell="AI5" sqref="AI5"/>
    </sheetView>
  </sheetViews>
  <sheetFormatPr baseColWidth="10" defaultColWidth="11.42578125" defaultRowHeight="15" x14ac:dyDescent="0.25"/>
  <cols>
    <col min="1" max="1" width="3.85546875" customWidth="1"/>
    <col min="2" max="2" width="11.5703125" customWidth="1"/>
    <col min="3" max="33" width="8.85546875" customWidth="1"/>
    <col min="34" max="34" width="3.42578125" customWidth="1"/>
    <col min="35" max="35" width="11.28515625" customWidth="1"/>
    <col min="36" max="36" width="9.5703125" customWidth="1"/>
    <col min="37" max="37" width="4.28515625" customWidth="1"/>
    <col min="38" max="38" width="23.85546875" customWidth="1"/>
  </cols>
  <sheetData>
    <row r="2" spans="1:38" x14ac:dyDescent="0.25">
      <c r="O2" t="s">
        <v>495</v>
      </c>
    </row>
    <row r="3" spans="1:38" x14ac:dyDescent="0.25">
      <c r="O3" s="5"/>
      <c r="P3" t="s">
        <v>496</v>
      </c>
    </row>
    <row r="4" spans="1:38" x14ac:dyDescent="0.25">
      <c r="O4" s="3"/>
      <c r="P4" t="s">
        <v>497</v>
      </c>
    </row>
    <row r="5" spans="1:38" x14ac:dyDescent="0.25">
      <c r="O5" s="6"/>
      <c r="P5" t="s">
        <v>498</v>
      </c>
    </row>
    <row r="6" spans="1:38" x14ac:dyDescent="0.25">
      <c r="O6" s="8"/>
      <c r="P6" t="s">
        <v>499</v>
      </c>
    </row>
    <row r="7" spans="1:38" x14ac:dyDescent="0.25">
      <c r="O7" s="12"/>
      <c r="P7" t="s">
        <v>500</v>
      </c>
    </row>
    <row r="8" spans="1:38" x14ac:dyDescent="0.25">
      <c r="O8" s="14"/>
      <c r="P8" t="s">
        <v>501</v>
      </c>
    </row>
    <row r="11" spans="1:38" x14ac:dyDescent="0.25">
      <c r="C11" s="1" t="s">
        <v>502</v>
      </c>
      <c r="D11" s="1" t="s">
        <v>503</v>
      </c>
      <c r="E11" s="7" t="s">
        <v>504</v>
      </c>
      <c r="F11" s="7" t="s">
        <v>505</v>
      </c>
      <c r="G11" s="1" t="s">
        <v>506</v>
      </c>
      <c r="H11" s="1" t="s">
        <v>507</v>
      </c>
      <c r="I11" s="1" t="s">
        <v>508</v>
      </c>
      <c r="J11" s="1" t="s">
        <v>502</v>
      </c>
      <c r="K11" s="1" t="s">
        <v>503</v>
      </c>
      <c r="L11" s="7" t="s">
        <v>504</v>
      </c>
      <c r="M11" s="7" t="s">
        <v>505</v>
      </c>
      <c r="N11" s="16" t="s">
        <v>506</v>
      </c>
      <c r="O11" s="16" t="s">
        <v>507</v>
      </c>
      <c r="P11" s="1" t="s">
        <v>508</v>
      </c>
      <c r="Q11" s="1" t="s">
        <v>502</v>
      </c>
      <c r="R11" s="1" t="s">
        <v>503</v>
      </c>
      <c r="S11" s="7" t="s">
        <v>509</v>
      </c>
      <c r="T11" s="7" t="s">
        <v>510</v>
      </c>
      <c r="U11" s="1" t="s">
        <v>511</v>
      </c>
      <c r="V11" s="16" t="s">
        <v>512</v>
      </c>
      <c r="W11" s="1" t="s">
        <v>513</v>
      </c>
      <c r="X11" s="1" t="s">
        <v>514</v>
      </c>
      <c r="Y11" s="1" t="s">
        <v>515</v>
      </c>
      <c r="Z11" s="7" t="s">
        <v>509</v>
      </c>
      <c r="AA11" s="7" t="s">
        <v>510</v>
      </c>
      <c r="AB11" s="1" t="s">
        <v>511</v>
      </c>
      <c r="AC11" s="16" t="s">
        <v>512</v>
      </c>
      <c r="AD11" s="1" t="s">
        <v>513</v>
      </c>
      <c r="AE11" s="1" t="s">
        <v>514</v>
      </c>
      <c r="AF11" s="1" t="s">
        <v>515</v>
      </c>
      <c r="AG11" s="7" t="s">
        <v>509</v>
      </c>
    </row>
    <row r="12" spans="1:38" x14ac:dyDescent="0.25">
      <c r="C12" s="63">
        <v>46023</v>
      </c>
      <c r="D12" s="63">
        <v>46024</v>
      </c>
      <c r="E12" s="63">
        <v>46025</v>
      </c>
      <c r="F12" s="63">
        <v>46026</v>
      </c>
      <c r="G12" s="63">
        <v>46027</v>
      </c>
      <c r="H12" s="63">
        <v>46028</v>
      </c>
      <c r="I12" s="63">
        <v>46029</v>
      </c>
      <c r="J12" s="63">
        <v>46030</v>
      </c>
      <c r="K12" s="63">
        <v>46031</v>
      </c>
      <c r="L12" s="63">
        <v>46032</v>
      </c>
      <c r="M12" s="63">
        <v>46033</v>
      </c>
      <c r="N12" s="63">
        <v>46034</v>
      </c>
      <c r="O12" s="63">
        <v>46035</v>
      </c>
      <c r="P12" s="63">
        <v>46036</v>
      </c>
      <c r="Q12" s="63">
        <v>46037</v>
      </c>
      <c r="R12" s="63">
        <v>46038</v>
      </c>
      <c r="S12" s="63">
        <v>46039</v>
      </c>
      <c r="T12" s="63">
        <v>46040</v>
      </c>
      <c r="U12" s="63">
        <v>46041</v>
      </c>
      <c r="V12" s="63">
        <v>46042</v>
      </c>
      <c r="W12" s="63">
        <v>46043</v>
      </c>
      <c r="X12" s="63">
        <v>46044</v>
      </c>
      <c r="Y12" s="63">
        <v>46045</v>
      </c>
      <c r="Z12" s="63">
        <v>46046</v>
      </c>
      <c r="AA12" s="63">
        <v>46047</v>
      </c>
      <c r="AB12" s="63">
        <v>46048</v>
      </c>
      <c r="AC12" s="63">
        <v>46049</v>
      </c>
      <c r="AD12" s="63">
        <v>46050</v>
      </c>
      <c r="AE12" s="63">
        <v>46051</v>
      </c>
      <c r="AF12" s="63">
        <v>46052</v>
      </c>
      <c r="AG12" s="63">
        <v>46053</v>
      </c>
      <c r="AJ12" s="22" t="s">
        <v>516</v>
      </c>
    </row>
    <row r="13" spans="1:38" ht="15" customHeight="1" x14ac:dyDescent="0.25">
      <c r="A13" s="68" t="s">
        <v>517</v>
      </c>
      <c r="B13" s="26" t="s">
        <v>518</v>
      </c>
      <c r="C13" s="4" t="str" cm="1">
        <f t="array" ref="C13">IFERROR(INDEX(FORECAST!$D$3:$D$475, MATCH(1, INDEX((ISNUMBER(SEARCH($B13, FORECAST!$A$3:$A$475))) * (INT(FORECAST!$B$3:$B$475) &lt;= C$12) * (INT(FORECAST!$C$3:$C$475) &gt;= C$12), 0), 0)), "")</f>
        <v/>
      </c>
      <c r="D13" s="4" t="str" cm="1">
        <f t="array" ref="D13">IFERROR(INDEX(FORECAST!$D$3:$D$475, MATCH(1, INDEX((ISNUMBER(SEARCH($B13, FORECAST!$A$3:$A$475))) * (INT(FORECAST!$B$3:$B$475) &lt;= D$12) * (INT(FORECAST!$C$3:$C$475) &gt;= D$12), 0), 0)), "")</f>
        <v/>
      </c>
      <c r="E13" s="4" t="str" cm="1">
        <f t="array" ref="E13">IFERROR(INDEX(FORECAST!$D$3:$D$475, MATCH(1, INDEX((ISNUMBER(SEARCH($B13, FORECAST!$A$3:$A$475))) * (INT(FORECAST!$B$3:$B$475) &lt;= E$12) * (INT(FORECAST!$C$3:$C$475) &gt;= E$12), 0), 0)), "")</f>
        <v/>
      </c>
      <c r="F13" s="4" t="str" cm="1">
        <f t="array" ref="F13">IFERROR(INDEX(FORECAST!$D$3:$D$475, MATCH(1, INDEX((ISNUMBER(SEARCH($B13, FORECAST!$A$3:$A$475))) * (INT(FORECAST!$B$3:$B$475) &lt;= F$12) * (INT(FORECAST!$C$3:$C$475) &gt;= F$12), 0), 0)), "")</f>
        <v/>
      </c>
      <c r="G13" s="4" t="str" cm="1">
        <f t="array" ref="G13">IFERROR(INDEX(FORECAST!$D$3:$D$475, MATCH(1, INDEX((ISNUMBER(SEARCH($B13, FORECAST!$A$3:$A$475))) * (INT(FORECAST!$B$3:$B$475) &lt;= G$12) * (INT(FORECAST!$C$3:$C$475) &gt;= G$12), 0), 0)), "")</f>
        <v/>
      </c>
      <c r="H13" s="4" t="str" cm="1">
        <f t="array" ref="H13">IFERROR(INDEX(FORECAST!$D$3:$D$475, MATCH(1, INDEX((ISNUMBER(SEARCH($B13, FORECAST!$A$3:$A$475))) * (INT(FORECAST!$B$3:$B$475) &lt;= H$12) * (INT(FORECAST!$C$3:$C$475) &gt;= H$12), 0), 0)), "")</f>
        <v/>
      </c>
      <c r="I13" s="4" t="str" cm="1">
        <f t="array" ref="I13">IFERROR(INDEX(FORECAST!$D$3:$D$475, MATCH(1, INDEX((ISNUMBER(SEARCH($B13, FORECAST!$A$3:$A$475))) * (INT(FORECAST!$B$3:$B$475) &lt;= I$12) * (INT(FORECAST!$C$3:$C$475) &gt;= I$12), 0), 0)), "")</f>
        <v/>
      </c>
      <c r="J13" s="4" t="str" cm="1">
        <f t="array" ref="J13">IFERROR(INDEX(FORECAST!$D$3:$D$475, MATCH(1, INDEX((ISNUMBER(SEARCH($B13, FORECAST!$A$3:$A$475))) * (INT(FORECAST!$B$3:$B$475) &lt;= J$12) * (INT(FORECAST!$C$3:$C$475) &gt;= J$12), 0), 0)), "")</f>
        <v/>
      </c>
      <c r="K13" s="4" t="str" cm="1">
        <f t="array" ref="K13">IFERROR(INDEX(FORECAST!$D$3:$D$475, MATCH(1, INDEX((ISNUMBER(SEARCH($B13, FORECAST!$A$3:$A$475))) * (INT(FORECAST!$B$3:$B$475) &lt;= K$12) * (INT(FORECAST!$C$3:$C$475) &gt;= K$12), 0), 0)), "")</f>
        <v/>
      </c>
      <c r="L13" s="4" t="str" cm="1">
        <f t="array" ref="L13">IFERROR(INDEX(FORECAST!$D$3:$D$475, MATCH(1, INDEX((ISNUMBER(SEARCH($B13, FORECAST!$A$3:$A$475))) * (INT(FORECAST!$B$3:$B$475) &lt;= L$12) * (INT(FORECAST!$C$3:$C$475) &gt;= L$12), 0), 0)), "")</f>
        <v/>
      </c>
      <c r="M13" s="4" t="str" cm="1">
        <f t="array" ref="M13">IFERROR(INDEX(FORECAST!$D$3:$D$475, MATCH(1, INDEX((ISNUMBER(SEARCH($B13, FORECAST!$A$3:$A$475))) * (INT(FORECAST!$B$3:$B$475) &lt;= M$12) * (INT(FORECAST!$C$3:$C$475) &gt;= M$12), 0), 0)), "")</f>
        <v/>
      </c>
      <c r="N13" s="4" t="str" cm="1">
        <f t="array" ref="N13">IFERROR(INDEX(FORECAST!$D$3:$D$475, MATCH(1, INDEX((ISNUMBER(SEARCH($B13, FORECAST!$A$3:$A$475))) * (INT(FORECAST!$B$3:$B$475) &lt;= N$12) * (INT(FORECAST!$C$3:$C$475) &gt;= N$12), 0), 0)), "")</f>
        <v/>
      </c>
      <c r="O13" s="4" t="str" cm="1">
        <f t="array" ref="O13">IFERROR(INDEX(FORECAST!$D$3:$D$475, MATCH(1, INDEX((ISNUMBER(SEARCH($B13, FORECAST!$A$3:$A$475))) * (INT(FORECAST!$B$3:$B$475) &lt;= O$12) * (INT(FORECAST!$C$3:$C$475) &gt;= O$12), 0), 0)), "")</f>
        <v/>
      </c>
      <c r="P13" s="4" t="str" cm="1">
        <f t="array" ref="P13">IFERROR(INDEX(FORECAST!$D$3:$D$475, MATCH(1, INDEX((ISNUMBER(SEARCH($B13, FORECAST!$A$3:$A$475))) * (INT(FORECAST!$B$3:$B$475) &lt;= P$12) * (INT(FORECAST!$C$3:$C$475) &gt;= P$12), 0), 0)), "")</f>
        <v/>
      </c>
      <c r="Q13" s="4" t="str" cm="1">
        <f t="array" ref="Q13">IFERROR(INDEX(FORECAST!$D$3:$D$475, MATCH(1, INDEX((ISNUMBER(SEARCH($B13, FORECAST!$A$3:$A$475))) * (INT(FORECAST!$B$3:$B$475) &lt;= Q$12) * (INT(FORECAST!$C$3:$C$475) &gt;= Q$12), 0), 0)), "")</f>
        <v/>
      </c>
      <c r="R13" s="4" t="str" cm="1">
        <f t="array" ref="R13">IFERROR(INDEX(FORECAST!$D$3:$D$475, MATCH(1, INDEX((ISNUMBER(SEARCH($B13, FORECAST!$A$3:$A$475))) * (INT(FORECAST!$B$3:$B$475) &lt;= R$12) * (INT(FORECAST!$C$3:$C$475) &gt;= R$12), 0), 0)), "")</f>
        <v/>
      </c>
      <c r="S13" s="4" t="str" cm="1">
        <f t="array" ref="S13">IFERROR(INDEX(FORECAST!$D$3:$D$475, MATCH(1, INDEX((ISNUMBER(SEARCH($B13, FORECAST!$A$3:$A$475))) * (INT(FORECAST!$B$3:$B$475) &lt;= S$12) * (INT(FORECAST!$C$3:$C$475) &gt;= S$12), 0), 0)), "")</f>
        <v/>
      </c>
      <c r="T13" s="4" t="str" cm="1">
        <f t="array" ref="T13">IFERROR(INDEX(FORECAST!$D$3:$D$475, MATCH(1, INDEX((ISNUMBER(SEARCH($B13, FORECAST!$A$3:$A$475))) * (INT(FORECAST!$B$3:$B$475) &lt;= T$12) * (INT(FORECAST!$C$3:$C$475) &gt;= T$12), 0), 0)), "")</f>
        <v/>
      </c>
      <c r="U13" s="4" t="str" cm="1">
        <f t="array" ref="U13">IFERROR(INDEX(FORECAST!$D$3:$D$475, MATCH(1, INDEX((ISNUMBER(SEARCH($B13, FORECAST!$A$3:$A$475))) * (INT(FORECAST!$B$3:$B$475) &lt;= U$12) * (INT(FORECAST!$C$3:$C$475) &gt;= U$12), 0), 0)), "")</f>
        <v/>
      </c>
      <c r="V13" s="4" t="str" cm="1">
        <f t="array" ref="V13">IFERROR(INDEX(FORECAST!$D$3:$D$475, MATCH(1, INDEX((ISNUMBER(SEARCH($B13, FORECAST!$A$3:$A$475))) * (INT(FORECAST!$B$3:$B$475) &lt;= V$12) * (INT(FORECAST!$C$3:$C$475) &gt;= V$12), 0), 0)), "")</f>
        <v/>
      </c>
      <c r="W13" s="4" t="str" cm="1">
        <f t="array" ref="W13">IFERROR(INDEX(FORECAST!$D$3:$D$475, MATCH(1, INDEX((ISNUMBER(SEARCH($B13, FORECAST!$A$3:$A$475))) * (INT(FORECAST!$B$3:$B$475) &lt;= W$12) * (INT(FORECAST!$C$3:$C$475) &gt;= W$12), 0), 0)), "")</f>
        <v/>
      </c>
      <c r="X13" s="4" t="str" cm="1">
        <f t="array" ref="X13">IFERROR(INDEX(FORECAST!$D$3:$D$475, MATCH(1, INDEX((ISNUMBER(SEARCH($B13, FORECAST!$A$3:$A$475))) * (INT(FORECAST!$B$3:$B$475) &lt;= X$12) * (INT(FORECAST!$C$3:$C$475) &gt;= X$12), 0), 0)), "")</f>
        <v/>
      </c>
      <c r="Y13" s="4" t="str" cm="1">
        <f t="array" ref="Y13">IFERROR(INDEX(FORECAST!$D$3:$D$475, MATCH(1, INDEX((ISNUMBER(SEARCH($B13, FORECAST!$A$3:$A$475))) * (INT(FORECAST!$B$3:$B$475) &lt;= Y$12) * (INT(FORECAST!$C$3:$C$475) &gt;= Y$12), 0), 0)), "")</f>
        <v/>
      </c>
      <c r="Z13" s="4" t="str" cm="1">
        <f t="array" ref="Z13">IFERROR(INDEX(FORECAST!$D$3:$D$475, MATCH(1, INDEX((ISNUMBER(SEARCH($B13, FORECAST!$A$3:$A$475))) * (INT(FORECAST!$B$3:$B$475) &lt;= Z$12) * (INT(FORECAST!$C$3:$C$475) &gt;= Z$12), 0), 0)), "")</f>
        <v/>
      </c>
      <c r="AA13" s="4" t="str" cm="1">
        <f t="array" ref="AA13">IFERROR(INDEX(FORECAST!$D$3:$D$475, MATCH(1, INDEX((ISNUMBER(SEARCH($B13, FORECAST!$A$3:$A$475))) * (INT(FORECAST!$B$3:$B$475) &lt;= AA$12) * (INT(FORECAST!$C$3:$C$475) &gt;= AA$12), 0), 0)), "")</f>
        <v/>
      </c>
      <c r="AB13" s="4" t="str" cm="1">
        <f t="array" ref="AB13">IFERROR(INDEX(FORECAST!$D$3:$D$475, MATCH(1, INDEX((ISNUMBER(SEARCH($B13, FORECAST!$A$3:$A$475))) * (INT(FORECAST!$B$3:$B$475) &lt;= AB$12) * (INT(FORECAST!$C$3:$C$475) &gt;= AB$12), 0), 0)), "")</f>
        <v/>
      </c>
      <c r="AC13" s="4" t="str" cm="1">
        <f t="array" ref="AC13">IFERROR(INDEX(FORECAST!$D$3:$D$475, MATCH(1, INDEX((ISNUMBER(SEARCH($B13, FORECAST!$A$3:$A$475))) * (INT(FORECAST!$B$3:$B$475) &lt;= AC$12) * (INT(FORECAST!$C$3:$C$475) &gt;= AC$12), 0), 0)), "")</f>
        <v/>
      </c>
      <c r="AD13" s="4" t="str" cm="1">
        <f t="array" ref="AD13">IFERROR(INDEX(FORECAST!$D$3:$D$475, MATCH(1, INDEX((ISNUMBER(SEARCH($B13, FORECAST!$A$3:$A$475))) * (INT(FORECAST!$B$3:$B$475) &lt;= AD$12) * (INT(FORECAST!$C$3:$C$475) &gt;= AD$12), 0), 0)), "")</f>
        <v/>
      </c>
      <c r="AE13" s="4" t="str" cm="1">
        <f t="array" ref="AE13">IFERROR(INDEX(FORECAST!$D$3:$D$475, MATCH(1, INDEX((ISNUMBER(SEARCH($B13, FORECAST!$A$3:$A$475))) * (INT(FORECAST!$B$3:$B$475) &lt;= AE$12) * (INT(FORECAST!$C$3:$C$475) &gt;= AE$12), 0), 0)), "")</f>
        <v/>
      </c>
      <c r="AF13" s="4" t="str" cm="1">
        <f t="array" ref="AF13">IFERROR(INDEX(FORECAST!$D$3:$D$475, MATCH(1, INDEX((ISNUMBER(SEARCH($B13, FORECAST!$A$3:$A$475))) * (INT(FORECAST!$B$3:$B$475) &lt;= AF$12) * (INT(FORECAST!$C$3:$C$475) &gt;= AF$12), 0), 0)), "")</f>
        <v/>
      </c>
      <c r="AG13" s="4" t="str" cm="1">
        <f t="array" ref="AG13">IFERROR(INDEX(FORECAST!$D$3:$D$475, MATCH(1, INDEX((ISNUMBER(SEARCH($B13, FORECAST!$A$3:$A$475))) * (INT(FORECAST!$B$3:$B$475) &lt;= AG$12) * (INT(FORECAST!$C$3:$C$475) &gt;= AG$12), 0), 0)), "")</f>
        <v/>
      </c>
      <c r="AJ13" s="45">
        <f>COUNTIF(C13:AG13,"Garantizado")/31</f>
        <v>0</v>
      </c>
    </row>
    <row r="14" spans="1:38" x14ac:dyDescent="0.25">
      <c r="A14" s="69"/>
      <c r="B14" s="26" t="s">
        <v>519</v>
      </c>
      <c r="C14" s="4" t="str" cm="1">
        <f t="array" ref="C14">IFERROR(INDEX(FORECAST!$D$3:$D$475, MATCH(1, INDEX((ISNUMBER(SEARCH($B14, FORECAST!$A$3:$A$475))) * (INT(FORECAST!$B$3:$B$475) &lt;= C$12) * (INT(FORECAST!$C$3:$C$475) &gt;= C$12), 0), 0)), "")</f>
        <v/>
      </c>
      <c r="D14" s="4" t="str" cm="1">
        <f t="array" ref="D14">IFERROR(INDEX(FORECAST!$D$3:$D$475, MATCH(1, INDEX((ISNUMBER(SEARCH($B14, FORECAST!$A$3:$A$475))) * (INT(FORECAST!$B$3:$B$475) &lt;= D$12) * (INT(FORECAST!$C$3:$C$475) &gt;= D$12), 0), 0)), "")</f>
        <v/>
      </c>
      <c r="E14" s="4" t="str" cm="1">
        <f t="array" ref="E14">IFERROR(INDEX(FORECAST!$D$3:$D$475, MATCH(1, INDEX((ISNUMBER(SEARCH($B14, FORECAST!$A$3:$A$475))) * (INT(FORECAST!$B$3:$B$475) &lt;= E$12) * (INT(FORECAST!$C$3:$C$475) &gt;= E$12), 0), 0)), "")</f>
        <v/>
      </c>
      <c r="F14" s="4" t="str" cm="1">
        <f t="array" ref="F14">IFERROR(INDEX(FORECAST!$D$3:$D$475, MATCH(1, INDEX((ISNUMBER(SEARCH($B14, FORECAST!$A$3:$A$475))) * (INT(FORECAST!$B$3:$B$475) &lt;= F$12) * (INT(FORECAST!$C$3:$C$475) &gt;= F$12), 0), 0)), "")</f>
        <v/>
      </c>
      <c r="G14" s="4" t="str" cm="1">
        <f t="array" ref="G14">IFERROR(INDEX(FORECAST!$D$3:$D$475, MATCH(1, INDEX((ISNUMBER(SEARCH($B14, FORECAST!$A$3:$A$475))) * (INT(FORECAST!$B$3:$B$475) &lt;= G$12) * (INT(FORECAST!$C$3:$C$475) &gt;= G$12), 0), 0)), "")</f>
        <v/>
      </c>
      <c r="H14" s="4" t="str" cm="1">
        <f t="array" ref="H14">IFERROR(INDEX(FORECAST!$D$3:$D$475, MATCH(1, INDEX((ISNUMBER(SEARCH($B14, FORECAST!$A$3:$A$475))) * (INT(FORECAST!$B$3:$B$475) &lt;= H$12) * (INT(FORECAST!$C$3:$C$475) &gt;= H$12), 0), 0)), "")</f>
        <v/>
      </c>
      <c r="I14" s="4" t="str" cm="1">
        <f t="array" ref="I14">IFERROR(INDEX(FORECAST!$D$3:$D$475, MATCH(1, INDEX((ISNUMBER(SEARCH($B14, FORECAST!$A$3:$A$475))) * (INT(FORECAST!$B$3:$B$475) &lt;= I$12) * (INT(FORECAST!$C$3:$C$475) &gt;= I$12), 0), 0)), "")</f>
        <v/>
      </c>
      <c r="J14" s="4" t="str" cm="1">
        <f t="array" ref="J14">IFERROR(INDEX(FORECAST!$D$3:$D$475, MATCH(1, INDEX((ISNUMBER(SEARCH($B14, FORECAST!$A$3:$A$475))) * (INT(FORECAST!$B$3:$B$475) &lt;= J$12) * (INT(FORECAST!$C$3:$C$475) &gt;= J$12), 0), 0)), "")</f>
        <v/>
      </c>
      <c r="K14" s="4" t="str" cm="1">
        <f t="array" ref="K14">IFERROR(INDEX(FORECAST!$D$3:$D$475, MATCH(1, INDEX((ISNUMBER(SEARCH($B14, FORECAST!$A$3:$A$475))) * (INT(FORECAST!$B$3:$B$475) &lt;= K$12) * (INT(FORECAST!$C$3:$C$475) &gt;= K$12), 0), 0)), "")</f>
        <v/>
      </c>
      <c r="L14" s="4" t="str" cm="1">
        <f t="array" ref="L14">IFERROR(INDEX(FORECAST!$D$3:$D$475, MATCH(1, INDEX((ISNUMBER(SEARCH($B14, FORECAST!$A$3:$A$475))) * (INT(FORECAST!$B$3:$B$475) &lt;= L$12) * (INT(FORECAST!$C$3:$C$475) &gt;= L$12), 0), 0)), "")</f>
        <v/>
      </c>
      <c r="M14" s="4" t="str" cm="1">
        <f t="array" ref="M14">IFERROR(INDEX(FORECAST!$D$3:$D$475, MATCH(1, INDEX((ISNUMBER(SEARCH($B14, FORECAST!$A$3:$A$475))) * (INT(FORECAST!$B$3:$B$475) &lt;= M$12) * (INT(FORECAST!$C$3:$C$475) &gt;= M$12), 0), 0)), "")</f>
        <v/>
      </c>
      <c r="N14" s="4" t="str" cm="1">
        <f t="array" ref="N14">IFERROR(INDEX(FORECAST!$D$3:$D$475, MATCH(1, INDEX((ISNUMBER(SEARCH($B14, FORECAST!$A$3:$A$475))) * (INT(FORECAST!$B$3:$B$475) &lt;= N$12) * (INT(FORECAST!$C$3:$C$475) &gt;= N$12), 0), 0)), "")</f>
        <v/>
      </c>
      <c r="O14" s="4" t="str" cm="1">
        <f t="array" ref="O14">IFERROR(INDEX(FORECAST!$D$3:$D$475, MATCH(1, INDEX((ISNUMBER(SEARCH($B14, FORECAST!$A$3:$A$475))) * (INT(FORECAST!$B$3:$B$475) &lt;= O$12) * (INT(FORECAST!$C$3:$C$475) &gt;= O$12), 0), 0)), "")</f>
        <v/>
      </c>
      <c r="P14" s="4" t="str" cm="1">
        <f t="array" ref="P14">IFERROR(INDEX(FORECAST!$D$3:$D$475, MATCH(1, INDEX((ISNUMBER(SEARCH($B14, FORECAST!$A$3:$A$475))) * (INT(FORECAST!$B$3:$B$475) &lt;= P$12) * (INT(FORECAST!$C$3:$C$475) &gt;= P$12), 0), 0)), "")</f>
        <v/>
      </c>
      <c r="Q14" s="4" t="str" cm="1">
        <f t="array" ref="Q14">IFERROR(INDEX(FORECAST!$D$3:$D$475, MATCH(1, INDEX((ISNUMBER(SEARCH($B14, FORECAST!$A$3:$A$475))) * (INT(FORECAST!$B$3:$B$475) &lt;= Q$12) * (INT(FORECAST!$C$3:$C$475) &gt;= Q$12), 0), 0)), "")</f>
        <v/>
      </c>
      <c r="R14" s="4" t="str" cm="1">
        <f t="array" ref="R14">IFERROR(INDEX(FORECAST!$D$3:$D$475, MATCH(1, INDEX((ISNUMBER(SEARCH($B14, FORECAST!$A$3:$A$475))) * (INT(FORECAST!$B$3:$B$475) &lt;= R$12) * (INT(FORECAST!$C$3:$C$475) &gt;= R$12), 0), 0)), "")</f>
        <v/>
      </c>
      <c r="S14" s="4" t="str" cm="1">
        <f t="array" ref="S14">IFERROR(INDEX(FORECAST!$D$3:$D$475, MATCH(1, INDEX((ISNUMBER(SEARCH($B14, FORECAST!$A$3:$A$475))) * (INT(FORECAST!$B$3:$B$475) &lt;= S$12) * (INT(FORECAST!$C$3:$C$475) &gt;= S$12), 0), 0)), "")</f>
        <v/>
      </c>
      <c r="T14" s="4" t="str" cm="1">
        <f t="array" ref="T14">IFERROR(INDEX(FORECAST!$D$3:$D$475, MATCH(1, INDEX((ISNUMBER(SEARCH($B14, FORECAST!$A$3:$A$475))) * (INT(FORECAST!$B$3:$B$475) &lt;= T$12) * (INT(FORECAST!$C$3:$C$475) &gt;= T$12), 0), 0)), "")</f>
        <v/>
      </c>
      <c r="U14" s="4" t="str" cm="1">
        <f t="array" ref="U14">IFERROR(INDEX(FORECAST!$D$3:$D$475, MATCH(1, INDEX((ISNUMBER(SEARCH($B14, FORECAST!$A$3:$A$475))) * (INT(FORECAST!$B$3:$B$475) &lt;= U$12) * (INT(FORECAST!$C$3:$C$475) &gt;= U$12), 0), 0)), "")</f>
        <v/>
      </c>
      <c r="V14" s="4" t="str" cm="1">
        <f t="array" ref="V14">IFERROR(INDEX(FORECAST!$D$3:$D$475, MATCH(1, INDEX((ISNUMBER(SEARCH($B14, FORECAST!$A$3:$A$475))) * (INT(FORECAST!$B$3:$B$475) &lt;= V$12) * (INT(FORECAST!$C$3:$C$475) &gt;= V$12), 0), 0)), "")</f>
        <v/>
      </c>
      <c r="W14" s="4" t="str" cm="1">
        <f t="array" ref="W14">IFERROR(INDEX(FORECAST!$D$3:$D$475, MATCH(1, INDEX((ISNUMBER(SEARCH($B14, FORECAST!$A$3:$A$475))) * (INT(FORECAST!$B$3:$B$475) &lt;= W$12) * (INT(FORECAST!$C$3:$C$475) &gt;= W$12), 0), 0)), "")</f>
        <v/>
      </c>
      <c r="X14" s="4" t="str" cm="1">
        <f t="array" ref="X14">IFERROR(INDEX(FORECAST!$D$3:$D$475, MATCH(1, INDEX((ISNUMBER(SEARCH($B14, FORECAST!$A$3:$A$475))) * (INT(FORECAST!$B$3:$B$475) &lt;= X$12) * (INT(FORECAST!$C$3:$C$475) &gt;= X$12), 0), 0)), "")</f>
        <v>Garantizado</v>
      </c>
      <c r="Y14" s="4" t="str" cm="1">
        <f t="array" ref="Y14">IFERROR(INDEX(FORECAST!$D$3:$D$475, MATCH(1, INDEX((ISNUMBER(SEARCH($B14, FORECAST!$A$3:$A$475))) * (INT(FORECAST!$B$3:$B$475) &lt;= Y$12) * (INT(FORECAST!$C$3:$C$475) &gt;= Y$12), 0), 0)), "")</f>
        <v/>
      </c>
      <c r="Z14" s="4" t="str" cm="1">
        <f t="array" ref="Z14">IFERROR(INDEX(FORECAST!$D$3:$D$475, MATCH(1, INDEX((ISNUMBER(SEARCH($B14, FORECAST!$A$3:$A$475))) * (INT(FORECAST!$B$3:$B$475) &lt;= Z$12) * (INT(FORECAST!$C$3:$C$475) &gt;= Z$12), 0), 0)), "")</f>
        <v/>
      </c>
      <c r="AA14" s="4" t="str" cm="1">
        <f t="array" ref="AA14">IFERROR(INDEX(FORECAST!$D$3:$D$475, MATCH(1, INDEX((ISNUMBER(SEARCH($B14, FORECAST!$A$3:$A$475))) * (INT(FORECAST!$B$3:$B$475) &lt;= AA$12) * (INT(FORECAST!$C$3:$C$475) &gt;= AA$12), 0), 0)), "")</f>
        <v/>
      </c>
      <c r="AB14" s="4" t="str" cm="1">
        <f t="array" ref="AB14">IFERROR(INDEX(FORECAST!$D$3:$D$475, MATCH(1, INDEX((ISNUMBER(SEARCH($B14, FORECAST!$A$3:$A$475))) * (INT(FORECAST!$B$3:$B$475) &lt;= AB$12) * (INT(FORECAST!$C$3:$C$475) &gt;= AB$12), 0), 0)), "")</f>
        <v>Garantizado</v>
      </c>
      <c r="AC14" s="4" t="str" cm="1">
        <f t="array" ref="AC14">IFERROR(INDEX(FORECAST!$D$3:$D$475, MATCH(1, INDEX((ISNUMBER(SEARCH($B14, FORECAST!$A$3:$A$475))) * (INT(FORECAST!$B$3:$B$475) &lt;= AC$12) * (INT(FORECAST!$C$3:$C$475) &gt;= AC$12), 0), 0)), "")</f>
        <v>Garantizado</v>
      </c>
      <c r="AD14" s="4" t="str" cm="1">
        <f t="array" ref="AD14">IFERROR(INDEX(FORECAST!$D$3:$D$475, MATCH(1, INDEX((ISNUMBER(SEARCH($B14, FORECAST!$A$3:$A$475))) * (INT(FORECAST!$B$3:$B$475) &lt;= AD$12) * (INT(FORECAST!$C$3:$C$475) &gt;= AD$12), 0), 0)), "")</f>
        <v/>
      </c>
      <c r="AE14" s="4" t="str" cm="1">
        <f t="array" ref="AE14">IFERROR(INDEX(FORECAST!$D$3:$D$475, MATCH(1, INDEX((ISNUMBER(SEARCH($B14, FORECAST!$A$3:$A$475))) * (INT(FORECAST!$B$3:$B$475) &lt;= AE$12) * (INT(FORECAST!$C$3:$C$475) &gt;= AE$12), 0), 0)), "")</f>
        <v/>
      </c>
      <c r="AF14" s="4" t="str" cm="1">
        <f t="array" ref="AF14">IFERROR(INDEX(FORECAST!$D$3:$D$475, MATCH(1, INDEX((ISNUMBER(SEARCH($B14, FORECAST!$A$3:$A$475))) * (INT(FORECAST!$B$3:$B$475) &lt;= AF$12) * (INT(FORECAST!$C$3:$C$475) &gt;= AF$12), 0), 0)), "")</f>
        <v/>
      </c>
      <c r="AG14" s="4" t="str" cm="1">
        <f t="array" ref="AG14">IFERROR(INDEX(FORECAST!$D$3:$D$475, MATCH(1, INDEX((ISNUMBER(SEARCH($B14, FORECAST!$A$3:$A$475))) * (INT(FORECAST!$B$3:$B$475) &lt;= AG$12) * (INT(FORECAST!$C$3:$C$475) &gt;= AG$12), 0), 0)), "")</f>
        <v/>
      </c>
      <c r="AJ14" s="45">
        <f t="shared" ref="AJ14:AJ20" si="0">COUNTIF(C14:AG14,"Garantizado")/31</f>
        <v>9.6774193548387094E-2</v>
      </c>
      <c r="AL14" s="22" t="s">
        <v>520</v>
      </c>
    </row>
    <row r="15" spans="1:38" x14ac:dyDescent="0.25">
      <c r="A15" s="69"/>
      <c r="B15" s="26" t="s">
        <v>279</v>
      </c>
      <c r="C15" s="4" t="str" cm="1">
        <f t="array" ref="C15">IFERROR(INDEX(FORECAST!$D$3:$D$475, MATCH(1, INDEX((ISNUMBER(SEARCH($B15, FORECAST!$A$3:$A$475))) * (INT(FORECAST!$B$3:$B$475) &lt;= C$12) * (INT(FORECAST!$C$3:$C$475) &gt;= C$12), 0), 0)), "")</f>
        <v/>
      </c>
      <c r="D15" s="4" t="str" cm="1">
        <f t="array" ref="D15">IFERROR(INDEX(FORECAST!$D$3:$D$475, MATCH(1, INDEX((ISNUMBER(SEARCH($B15, FORECAST!$A$3:$A$475))) * (INT(FORECAST!$B$3:$B$475) &lt;= D$12) * (INT(FORECAST!$C$3:$C$475) &gt;= D$12), 0), 0)), "")</f>
        <v/>
      </c>
      <c r="E15" s="4" t="str" cm="1">
        <f t="array" ref="E15">IFERROR(INDEX(FORECAST!$D$3:$D$475, MATCH(1, INDEX((ISNUMBER(SEARCH($B15, FORECAST!$A$3:$A$475))) * (INT(FORECAST!$B$3:$B$475) &lt;= E$12) * (INT(FORECAST!$C$3:$C$475) &gt;= E$12), 0), 0)), "")</f>
        <v/>
      </c>
      <c r="F15" s="4" t="str" cm="1">
        <f t="array" ref="F15">IFERROR(INDEX(FORECAST!$D$3:$D$475, MATCH(1, INDEX((ISNUMBER(SEARCH($B15, FORECAST!$A$3:$A$475))) * (INT(FORECAST!$B$3:$B$475) &lt;= F$12) * (INT(FORECAST!$C$3:$C$475) &gt;= F$12), 0), 0)), "")</f>
        <v/>
      </c>
      <c r="G15" s="4" t="str" cm="1">
        <f t="array" ref="G15">IFERROR(INDEX(FORECAST!$D$3:$D$475, MATCH(1, INDEX((ISNUMBER(SEARCH($B15, FORECAST!$A$3:$A$475))) * (INT(FORECAST!$B$3:$B$475) &lt;= G$12) * (INT(FORECAST!$C$3:$C$475) &gt;= G$12), 0), 0)), "")</f>
        <v/>
      </c>
      <c r="H15" s="4" t="str" cm="1">
        <f t="array" ref="H15">IFERROR(INDEX(FORECAST!$D$3:$D$475, MATCH(1, INDEX((ISNUMBER(SEARCH($B15, FORECAST!$A$3:$A$475))) * (INT(FORECAST!$B$3:$B$475) &lt;= H$12) * (INT(FORECAST!$C$3:$C$475) &gt;= H$12), 0), 0)), "")</f>
        <v/>
      </c>
      <c r="I15" s="4" t="str" cm="1">
        <f t="array" ref="I15">IFERROR(INDEX(FORECAST!$D$3:$D$475, MATCH(1, INDEX((ISNUMBER(SEARCH($B15, FORECAST!$A$3:$A$475))) * (INT(FORECAST!$B$3:$B$475) &lt;= I$12) * (INT(FORECAST!$C$3:$C$475) &gt;= I$12), 0), 0)), "")</f>
        <v/>
      </c>
      <c r="J15" s="4" t="str" cm="1">
        <f t="array" ref="J15">IFERROR(INDEX(FORECAST!$D$3:$D$475, MATCH(1, INDEX((ISNUMBER(SEARCH($B15, FORECAST!$A$3:$A$475))) * (INT(FORECAST!$B$3:$B$475) &lt;= J$12) * (INT(FORECAST!$C$3:$C$475) &gt;= J$12), 0), 0)), "")</f>
        <v/>
      </c>
      <c r="K15" s="4" t="str" cm="1">
        <f t="array" ref="K15">IFERROR(INDEX(FORECAST!$D$3:$D$475, MATCH(1, INDEX((ISNUMBER(SEARCH($B15, FORECAST!$A$3:$A$475))) * (INT(FORECAST!$B$3:$B$475) &lt;= K$12) * (INT(FORECAST!$C$3:$C$475) &gt;= K$12), 0), 0)), "")</f>
        <v/>
      </c>
      <c r="L15" s="4" t="str" cm="1">
        <f t="array" ref="L15">IFERROR(INDEX(FORECAST!$D$3:$D$475, MATCH(1, INDEX((ISNUMBER(SEARCH($B15, FORECAST!$A$3:$A$475))) * (INT(FORECAST!$B$3:$B$475) &lt;= L$12) * (INT(FORECAST!$C$3:$C$475) &gt;= L$12), 0), 0)), "")</f>
        <v/>
      </c>
      <c r="M15" s="4" t="str" cm="1">
        <f t="array" ref="M15">IFERROR(INDEX(FORECAST!$D$3:$D$475, MATCH(1, INDEX((ISNUMBER(SEARCH($B15, FORECAST!$A$3:$A$475))) * (INT(FORECAST!$B$3:$B$475) &lt;= M$12) * (INT(FORECAST!$C$3:$C$475) &gt;= M$12), 0), 0)), "")</f>
        <v/>
      </c>
      <c r="N15" s="4" t="str" cm="1">
        <f t="array" ref="N15">IFERROR(INDEX(FORECAST!$D$3:$D$475, MATCH(1, INDEX((ISNUMBER(SEARCH($B15, FORECAST!$A$3:$A$475))) * (INT(FORECAST!$B$3:$B$475) &lt;= N$12) * (INT(FORECAST!$C$3:$C$475) &gt;= N$12), 0), 0)), "")</f>
        <v/>
      </c>
      <c r="O15" s="4" t="str" cm="1">
        <f t="array" ref="O15">IFERROR(INDEX(FORECAST!$D$3:$D$475, MATCH(1, INDEX((ISNUMBER(SEARCH($B15, FORECAST!$A$3:$A$475))) * (INT(FORECAST!$B$3:$B$475) &lt;= O$12) * (INT(FORECAST!$C$3:$C$475) &gt;= O$12), 0), 0)), "")</f>
        <v/>
      </c>
      <c r="P15" s="4" t="str" cm="1">
        <f t="array" ref="P15">IFERROR(INDEX(FORECAST!$D$3:$D$475, MATCH(1, INDEX((ISNUMBER(SEARCH($B15, FORECAST!$A$3:$A$475))) * (INT(FORECAST!$B$3:$B$475) &lt;= P$12) * (INT(FORECAST!$C$3:$C$475) &gt;= P$12), 0), 0)), "")</f>
        <v/>
      </c>
      <c r="Q15" s="4" t="str" cm="1">
        <f t="array" ref="Q15">IFERROR(INDEX(FORECAST!$D$3:$D$475, MATCH(1, INDEX((ISNUMBER(SEARCH($B15, FORECAST!$A$3:$A$475))) * (INT(FORECAST!$B$3:$B$475) &lt;= Q$12) * (INT(FORECAST!$C$3:$C$475) &gt;= Q$12), 0), 0)), "")</f>
        <v/>
      </c>
      <c r="R15" s="4" t="str" cm="1">
        <f t="array" ref="R15">IFERROR(INDEX(FORECAST!$D$3:$D$475, MATCH(1, INDEX((ISNUMBER(SEARCH($B15, FORECAST!$A$3:$A$475))) * (INT(FORECAST!$B$3:$B$475) &lt;= R$12) * (INT(FORECAST!$C$3:$C$475) &gt;= R$12), 0), 0)), "")</f>
        <v/>
      </c>
      <c r="S15" s="4" t="str" cm="1">
        <f t="array" ref="S15">IFERROR(INDEX(FORECAST!$D$3:$D$475, MATCH(1, INDEX((ISNUMBER(SEARCH($B15, FORECAST!$A$3:$A$475))) * (INT(FORECAST!$B$3:$B$475) &lt;= S$12) * (INT(FORECAST!$C$3:$C$475) &gt;= S$12), 0), 0)), "")</f>
        <v/>
      </c>
      <c r="T15" s="4" t="str" cm="1">
        <f t="array" ref="T15">IFERROR(INDEX(FORECAST!$D$3:$D$475, MATCH(1, INDEX((ISNUMBER(SEARCH($B15, FORECAST!$A$3:$A$475))) * (INT(FORECAST!$B$3:$B$475) &lt;= T$12) * (INT(FORECAST!$C$3:$C$475) &gt;= T$12), 0), 0)), "")</f>
        <v/>
      </c>
      <c r="U15" s="4" t="str" cm="1">
        <f t="array" ref="U15">IFERROR(INDEX(FORECAST!$D$3:$D$475, MATCH(1, INDEX((ISNUMBER(SEARCH($B15, FORECAST!$A$3:$A$475))) * (INT(FORECAST!$B$3:$B$475) &lt;= U$12) * (INT(FORECAST!$C$3:$C$475) &gt;= U$12), 0), 0)), "")</f>
        <v/>
      </c>
      <c r="V15" s="4" t="str" cm="1">
        <f t="array" ref="V15">IFERROR(INDEX(FORECAST!$D$3:$D$475, MATCH(1, INDEX((ISNUMBER(SEARCH($B15, FORECAST!$A$3:$A$475))) * (INT(FORECAST!$B$3:$B$475) &lt;= V$12) * (INT(FORECAST!$C$3:$C$475) &gt;= V$12), 0), 0)), "")</f>
        <v/>
      </c>
      <c r="W15" s="4" t="str" cm="1">
        <f t="array" ref="W15">IFERROR(INDEX(FORECAST!$D$3:$D$475, MATCH(1, INDEX((ISNUMBER(SEARCH($B15, FORECAST!$A$3:$A$475))) * (INT(FORECAST!$B$3:$B$475) &lt;= W$12) * (INT(FORECAST!$C$3:$C$475) &gt;= W$12), 0), 0)), "")</f>
        <v/>
      </c>
      <c r="X15" s="4" t="str" cm="1">
        <f t="array" ref="X15">IFERROR(INDEX(FORECAST!$D$3:$D$475, MATCH(1, INDEX((ISNUMBER(SEARCH($B15, FORECAST!$A$3:$A$475))) * (INT(FORECAST!$B$3:$B$475) &lt;= X$12) * (INT(FORECAST!$C$3:$C$475) &gt;= X$12), 0), 0)), "")</f>
        <v/>
      </c>
      <c r="Y15" s="4" t="str" cm="1">
        <f t="array" ref="Y15">IFERROR(INDEX(FORECAST!$D$3:$D$475, MATCH(1, INDEX((ISNUMBER(SEARCH($B15, FORECAST!$A$3:$A$475))) * (INT(FORECAST!$B$3:$B$475) &lt;= Y$12) * (INT(FORECAST!$C$3:$C$475) &gt;= Y$12), 0), 0)), "")</f>
        <v/>
      </c>
      <c r="Z15" s="4" t="str" cm="1">
        <f t="array" ref="Z15">IFERROR(INDEX(FORECAST!$D$3:$D$475, MATCH(1, INDEX((ISNUMBER(SEARCH($B15, FORECAST!$A$3:$A$475))) * (INT(FORECAST!$B$3:$B$475) &lt;= Z$12) * (INT(FORECAST!$C$3:$C$475) &gt;= Z$12), 0), 0)), "")</f>
        <v/>
      </c>
      <c r="AA15" s="4" t="str" cm="1">
        <f t="array" ref="AA15">IFERROR(INDEX(FORECAST!$D$3:$D$475, MATCH(1, INDEX((ISNUMBER(SEARCH($B15, FORECAST!$A$3:$A$475))) * (INT(FORECAST!$B$3:$B$475) &lt;= AA$12) * (INT(FORECAST!$C$3:$C$475) &gt;= AA$12), 0), 0)), "")</f>
        <v/>
      </c>
      <c r="AB15" s="4" t="str" cm="1">
        <f t="array" ref="AB15">IFERROR(INDEX(FORECAST!$D$3:$D$475, MATCH(1, INDEX((ISNUMBER(SEARCH($B15, FORECAST!$A$3:$A$475))) * (INT(FORECAST!$B$3:$B$475) &lt;= AB$12) * (INT(FORECAST!$C$3:$C$475) &gt;= AB$12), 0), 0)), "")</f>
        <v/>
      </c>
      <c r="AC15" s="4" t="str" cm="1">
        <f t="array" ref="AC15">IFERROR(INDEX(FORECAST!$D$3:$D$475, MATCH(1, INDEX((ISNUMBER(SEARCH($B15, FORECAST!$A$3:$A$475))) * (INT(FORECAST!$B$3:$B$475) &lt;= AC$12) * (INT(FORECAST!$C$3:$C$475) &gt;= AC$12), 0), 0)), "")</f>
        <v/>
      </c>
      <c r="AD15" s="4" t="str" cm="1">
        <f t="array" ref="AD15">IFERROR(INDEX(FORECAST!$D$3:$D$475, MATCH(1, INDEX((ISNUMBER(SEARCH($B15, FORECAST!$A$3:$A$475))) * (INT(FORECAST!$B$3:$B$475) &lt;= AD$12) * (INT(FORECAST!$C$3:$C$475) &gt;= AD$12), 0), 0)), "")</f>
        <v/>
      </c>
      <c r="AE15" s="4" t="str" cm="1">
        <f t="array" ref="AE15">IFERROR(INDEX(FORECAST!$D$3:$D$475, MATCH(1, INDEX((ISNUMBER(SEARCH($B15, FORECAST!$A$3:$A$475))) * (INT(FORECAST!$B$3:$B$475) &lt;= AE$12) * (INT(FORECAST!$C$3:$C$475) &gt;= AE$12), 0), 0)), "")</f>
        <v/>
      </c>
      <c r="AF15" s="4" t="str" cm="1">
        <f t="array" ref="AF15">IFERROR(INDEX(FORECAST!$D$3:$D$475, MATCH(1, INDEX((ISNUMBER(SEARCH($B15, FORECAST!$A$3:$A$475))) * (INT(FORECAST!$B$3:$B$475) &lt;= AF$12) * (INT(FORECAST!$C$3:$C$475) &gt;= AF$12), 0), 0)), "")</f>
        <v/>
      </c>
      <c r="AG15" s="4" t="str" cm="1">
        <f t="array" ref="AG15">IFERROR(INDEX(FORECAST!$D$3:$D$475, MATCH(1, INDEX((ISNUMBER(SEARCH($B15, FORECAST!$A$3:$A$475))) * (INT(FORECAST!$B$3:$B$475) &lt;= AG$12) * (INT(FORECAST!$C$3:$C$475) &gt;= AG$12), 0), 0)), "")</f>
        <v/>
      </c>
      <c r="AJ15" s="45">
        <f t="shared" si="0"/>
        <v>0</v>
      </c>
      <c r="AL15" s="45">
        <f>COUNTIF('PLANNING 2026'!C13:AG19,"Garantizado")/COUNTA('PLANNING 2026'!C13:AG19)</f>
        <v>6.9124423963133647E-2</v>
      </c>
    </row>
    <row r="16" spans="1:38" x14ac:dyDescent="0.25">
      <c r="A16" s="69"/>
      <c r="B16" s="26" t="s">
        <v>521</v>
      </c>
      <c r="C16" s="4" t="str" cm="1">
        <f t="array" ref="C16">IFERROR(INDEX(FORECAST!$D$3:$D$475, MATCH(1, INDEX((ISNUMBER(SEARCH($B16, FORECAST!$A$3:$A$475))) * (INT(FORECAST!$B$3:$B$475) &lt;= C$12) * (INT(FORECAST!$C$3:$C$475) &gt;= C$12), 0), 0)), "")</f>
        <v/>
      </c>
      <c r="D16" s="4" t="str" cm="1">
        <f t="array" ref="D16">IFERROR(INDEX(FORECAST!$D$3:$D$475, MATCH(1, INDEX((ISNUMBER(SEARCH($B16, FORECAST!$A$3:$A$475))) * (INT(FORECAST!$B$3:$B$475) &lt;= D$12) * (INT(FORECAST!$C$3:$C$475) &gt;= D$12), 0), 0)), "")</f>
        <v/>
      </c>
      <c r="E16" s="4" t="str" cm="1">
        <f t="array" ref="E16">IFERROR(INDEX(FORECAST!$D$3:$D$475, MATCH(1, INDEX((ISNUMBER(SEARCH($B16, FORECAST!$A$3:$A$475))) * (INT(FORECAST!$B$3:$B$475) &lt;= E$12) * (INT(FORECAST!$C$3:$C$475) &gt;= E$12), 0), 0)), "")</f>
        <v/>
      </c>
      <c r="F16" s="4" t="str" cm="1">
        <f t="array" ref="F16">IFERROR(INDEX(FORECAST!$D$3:$D$475, MATCH(1, INDEX((ISNUMBER(SEARCH($B16, FORECAST!$A$3:$A$475))) * (INT(FORECAST!$B$3:$B$475) &lt;= F$12) * (INT(FORECAST!$C$3:$C$475) &gt;= F$12), 0), 0)), "")</f>
        <v/>
      </c>
      <c r="G16" s="4" t="str" cm="1">
        <f t="array" ref="G16">IFERROR(INDEX(FORECAST!$D$3:$D$475, MATCH(1, INDEX((ISNUMBER(SEARCH($B16, FORECAST!$A$3:$A$475))) * (INT(FORECAST!$B$3:$B$475) &lt;= G$12) * (INT(FORECAST!$C$3:$C$475) &gt;= G$12), 0), 0)), "")</f>
        <v/>
      </c>
      <c r="H16" s="4" t="str" cm="1">
        <f t="array" ref="H16">IFERROR(INDEX(FORECAST!$D$3:$D$475, MATCH(1, INDEX((ISNUMBER(SEARCH($B16, FORECAST!$A$3:$A$475))) * (INT(FORECAST!$B$3:$B$475) &lt;= H$12) * (INT(FORECAST!$C$3:$C$475) &gt;= H$12), 0), 0)), "")</f>
        <v/>
      </c>
      <c r="I16" s="4" t="str" cm="1">
        <f t="array" ref="I16">IFERROR(INDEX(FORECAST!$D$3:$D$475, MATCH(1, INDEX((ISNUMBER(SEARCH($B16, FORECAST!$A$3:$A$475))) * (INT(FORECAST!$B$3:$B$475) &lt;= I$12) * (INT(FORECAST!$C$3:$C$475) &gt;= I$12), 0), 0)), "")</f>
        <v/>
      </c>
      <c r="J16" s="4" t="str" cm="1">
        <f t="array" ref="J16">IFERROR(INDEX(FORECAST!$D$3:$D$475, MATCH(1, INDEX((ISNUMBER(SEARCH($B16, FORECAST!$A$3:$A$475))) * (INT(FORECAST!$B$3:$B$475) &lt;= J$12) * (INT(FORECAST!$C$3:$C$475) &gt;= J$12), 0), 0)), "")</f>
        <v>Garantizado</v>
      </c>
      <c r="K16" s="4" t="str" cm="1">
        <f t="array" ref="K16">IFERROR(INDEX(FORECAST!$D$3:$D$475, MATCH(1, INDEX((ISNUMBER(SEARCH($B16, FORECAST!$A$3:$A$475))) * (INT(FORECAST!$B$3:$B$475) &lt;= K$12) * (INT(FORECAST!$C$3:$C$475) &gt;= K$12), 0), 0)), "")</f>
        <v/>
      </c>
      <c r="L16" s="4" t="str" cm="1">
        <f t="array" ref="L16">IFERROR(INDEX(FORECAST!$D$3:$D$475, MATCH(1, INDEX((ISNUMBER(SEARCH($B16, FORECAST!$A$3:$A$475))) * (INT(FORECAST!$B$3:$B$475) &lt;= L$12) * (INT(FORECAST!$C$3:$C$475) &gt;= L$12), 0), 0)), "")</f>
        <v/>
      </c>
      <c r="M16" s="4" t="str" cm="1">
        <f t="array" ref="M16">IFERROR(INDEX(FORECAST!$D$3:$D$475, MATCH(1, INDEX((ISNUMBER(SEARCH($B16, FORECAST!$A$3:$A$475))) * (INT(FORECAST!$B$3:$B$475) &lt;= M$12) * (INT(FORECAST!$C$3:$C$475) &gt;= M$12), 0), 0)), "")</f>
        <v/>
      </c>
      <c r="N16" s="4" t="str" cm="1">
        <f t="array" ref="N16">IFERROR(INDEX(FORECAST!$D$3:$D$475, MATCH(1, INDEX((ISNUMBER(SEARCH($B16, FORECAST!$A$3:$A$475))) * (INT(FORECAST!$B$3:$B$475) &lt;= N$12) * (INT(FORECAST!$C$3:$C$475) &gt;= N$12), 0), 0)), "")</f>
        <v/>
      </c>
      <c r="O16" s="4" t="str" cm="1">
        <f t="array" ref="O16">IFERROR(INDEX(FORECAST!$D$3:$D$475, MATCH(1, INDEX((ISNUMBER(SEARCH($B16, FORECAST!$A$3:$A$475))) * (INT(FORECAST!$B$3:$B$475) &lt;= O$12) * (INT(FORECAST!$C$3:$C$475) &gt;= O$12), 0), 0)), "")</f>
        <v/>
      </c>
      <c r="P16" s="4" t="str" cm="1">
        <f t="array" ref="P16">IFERROR(INDEX(FORECAST!$D$3:$D$475, MATCH(1, INDEX((ISNUMBER(SEARCH($B16, FORECAST!$A$3:$A$475))) * (INT(FORECAST!$B$3:$B$475) &lt;= P$12) * (INT(FORECAST!$C$3:$C$475) &gt;= P$12), 0), 0)), "")</f>
        <v/>
      </c>
      <c r="Q16" s="4" t="str" cm="1">
        <f t="array" ref="Q16">IFERROR(INDEX(FORECAST!$D$3:$D$475, MATCH(1, INDEX((ISNUMBER(SEARCH($B16, FORECAST!$A$3:$A$475))) * (INT(FORECAST!$B$3:$B$475) &lt;= Q$12) * (INT(FORECAST!$C$3:$C$475) &gt;= Q$12), 0), 0)), "")</f>
        <v/>
      </c>
      <c r="R16" s="4" t="str" cm="1">
        <f t="array" ref="R16">IFERROR(INDEX(FORECAST!$D$3:$D$475, MATCH(1, INDEX((ISNUMBER(SEARCH($B16, FORECAST!$A$3:$A$475))) * (INT(FORECAST!$B$3:$B$475) &lt;= R$12) * (INT(FORECAST!$C$3:$C$475) &gt;= R$12), 0), 0)), "")</f>
        <v/>
      </c>
      <c r="S16" s="4" t="str" cm="1">
        <f t="array" ref="S16">IFERROR(INDEX(FORECAST!$D$3:$D$475, MATCH(1, INDEX((ISNUMBER(SEARCH($B16, FORECAST!$A$3:$A$475))) * (INT(FORECAST!$B$3:$B$475) &lt;= S$12) * (INT(FORECAST!$C$3:$C$475) &gt;= S$12), 0), 0)), "")</f>
        <v/>
      </c>
      <c r="T16" s="4" t="str" cm="1">
        <f t="array" ref="T16">IFERROR(INDEX(FORECAST!$D$3:$D$475, MATCH(1, INDEX((ISNUMBER(SEARCH($B16, FORECAST!$A$3:$A$475))) * (INT(FORECAST!$B$3:$B$475) &lt;= T$12) * (INT(FORECAST!$C$3:$C$475) &gt;= T$12), 0), 0)), "")</f>
        <v/>
      </c>
      <c r="U16" s="4" t="str" cm="1">
        <f t="array" ref="U16">IFERROR(INDEX(FORECAST!$D$3:$D$475, MATCH(1, INDEX((ISNUMBER(SEARCH($B16, FORECAST!$A$3:$A$475))) * (INT(FORECAST!$B$3:$B$475) &lt;= U$12) * (INT(FORECAST!$C$3:$C$475) &gt;= U$12), 0), 0)), "")</f>
        <v/>
      </c>
      <c r="V16" s="4" t="str" cm="1">
        <f t="array" ref="V16">IFERROR(INDEX(FORECAST!$D$3:$D$475, MATCH(1, INDEX((ISNUMBER(SEARCH($B16, FORECAST!$A$3:$A$475))) * (INT(FORECAST!$B$3:$B$475) &lt;= V$12) * (INT(FORECAST!$C$3:$C$475) &gt;= V$12), 0), 0)), "")</f>
        <v/>
      </c>
      <c r="W16" s="4" t="str" cm="1">
        <f t="array" ref="W16">IFERROR(INDEX(FORECAST!$D$3:$D$475, MATCH(1, INDEX((ISNUMBER(SEARCH($B16, FORECAST!$A$3:$A$475))) * (INT(FORECAST!$B$3:$B$475) &lt;= W$12) * (INT(FORECAST!$C$3:$C$475) &gt;= W$12), 0), 0)), "")</f>
        <v/>
      </c>
      <c r="X16" s="4" t="str" cm="1">
        <f t="array" ref="X16">IFERROR(INDEX(FORECAST!$D$3:$D$475, MATCH(1, INDEX((ISNUMBER(SEARCH($B16, FORECAST!$A$3:$A$475))) * (INT(FORECAST!$B$3:$B$475) &lt;= X$12) * (INT(FORECAST!$C$3:$C$475) &gt;= X$12), 0), 0)), "")</f>
        <v/>
      </c>
      <c r="Y16" s="4" t="str" cm="1">
        <f t="array" ref="Y16">IFERROR(INDEX(FORECAST!$D$3:$D$475, MATCH(1, INDEX((ISNUMBER(SEARCH($B16, FORECAST!$A$3:$A$475))) * (INT(FORECAST!$B$3:$B$475) &lt;= Y$12) * (INT(FORECAST!$C$3:$C$475) &gt;= Y$12), 0), 0)), "")</f>
        <v/>
      </c>
      <c r="Z16" s="4" t="str" cm="1">
        <f t="array" ref="Z16">IFERROR(INDEX(FORECAST!$D$3:$D$475, MATCH(1, INDEX((ISNUMBER(SEARCH($B16, FORECAST!$A$3:$A$475))) * (INT(FORECAST!$B$3:$B$475) &lt;= Z$12) * (INT(FORECAST!$C$3:$C$475) &gt;= Z$12), 0), 0)), "")</f>
        <v/>
      </c>
      <c r="AA16" s="4" t="str" cm="1">
        <f t="array" ref="AA16">IFERROR(INDEX(FORECAST!$D$3:$D$475, MATCH(1, INDEX((ISNUMBER(SEARCH($B16, FORECAST!$A$3:$A$475))) * (INT(FORECAST!$B$3:$B$475) &lt;= AA$12) * (INT(FORECAST!$C$3:$C$475) &gt;= AA$12), 0), 0)), "")</f>
        <v/>
      </c>
      <c r="AB16" s="4" t="str" cm="1">
        <f t="array" ref="AB16">IFERROR(INDEX(FORECAST!$D$3:$D$475, MATCH(1, INDEX((ISNUMBER(SEARCH($B16, FORECAST!$A$3:$A$475))) * (INT(FORECAST!$B$3:$B$475) &lt;= AB$12) * (INT(FORECAST!$C$3:$C$475) &gt;= AB$12), 0), 0)), "")</f>
        <v/>
      </c>
      <c r="AC16" s="4" t="str" cm="1">
        <f t="array" ref="AC16">IFERROR(INDEX(FORECAST!$D$3:$D$475, MATCH(1, INDEX((ISNUMBER(SEARCH($B16, FORECAST!$A$3:$A$475))) * (INT(FORECAST!$B$3:$B$475) &lt;= AC$12) * (INT(FORECAST!$C$3:$C$475) &gt;= AC$12), 0), 0)), "")</f>
        <v/>
      </c>
      <c r="AD16" s="4" t="str" cm="1">
        <f t="array" ref="AD16">IFERROR(INDEX(FORECAST!$D$3:$D$475, MATCH(1, INDEX((ISNUMBER(SEARCH($B16, FORECAST!$A$3:$A$475))) * (INT(FORECAST!$B$3:$B$475) &lt;= AD$12) * (INT(FORECAST!$C$3:$C$475) &gt;= AD$12), 0), 0)), "")</f>
        <v/>
      </c>
      <c r="AE16" s="4" t="str" cm="1">
        <f t="array" ref="AE16">IFERROR(INDEX(FORECAST!$D$3:$D$475, MATCH(1, INDEX((ISNUMBER(SEARCH($B16, FORECAST!$A$3:$A$475))) * (INT(FORECAST!$B$3:$B$475) &lt;= AE$12) * (INT(FORECAST!$C$3:$C$475) &gt;= AE$12), 0), 0)), "")</f>
        <v/>
      </c>
      <c r="AF16" s="4" t="str" cm="1">
        <f t="array" ref="AF16">IFERROR(INDEX(FORECAST!$D$3:$D$475, MATCH(1, INDEX((ISNUMBER(SEARCH($B16, FORECAST!$A$3:$A$475))) * (INT(FORECAST!$B$3:$B$475) &lt;= AF$12) * (INT(FORECAST!$C$3:$C$475) &gt;= AF$12), 0), 0)), "")</f>
        <v/>
      </c>
      <c r="AG16" s="4" t="str" cm="1">
        <f t="array" ref="AG16">IFERROR(INDEX(FORECAST!$D$3:$D$475, MATCH(1, INDEX((ISNUMBER(SEARCH($B16, FORECAST!$A$3:$A$475))) * (INT(FORECAST!$B$3:$B$475) &lt;= AG$12) * (INT(FORECAST!$C$3:$C$475) &gt;= AG$12), 0), 0)), "")</f>
        <v/>
      </c>
      <c r="AJ16" s="45">
        <f t="shared" si="0"/>
        <v>3.2258064516129031E-2</v>
      </c>
    </row>
    <row r="17" spans="1:41" x14ac:dyDescent="0.25">
      <c r="A17" s="69"/>
      <c r="B17" s="26" t="s">
        <v>522</v>
      </c>
      <c r="C17" s="4" t="str" cm="1">
        <f t="array" ref="C17">IFERROR(INDEX(FORECAST!$D$3:$D$475, MATCH(1, INDEX((ISNUMBER(SEARCH($B17, FORECAST!$A$3:$A$475))) * (INT(FORECAST!$B$3:$B$475) &lt;= C$12) * (INT(FORECAST!$C$3:$C$475) &gt;= C$12), 0), 0)), "")</f>
        <v/>
      </c>
      <c r="D17" s="4" t="str" cm="1">
        <f t="array" ref="D17">IFERROR(INDEX(FORECAST!$D$3:$D$475, MATCH(1, INDEX((ISNUMBER(SEARCH($B17, FORECAST!$A$3:$A$475))) * (INT(FORECAST!$B$3:$B$475) &lt;= D$12) * (INT(FORECAST!$C$3:$C$475) &gt;= D$12), 0), 0)), "")</f>
        <v/>
      </c>
      <c r="E17" s="4" t="str" cm="1">
        <f t="array" ref="E17">IFERROR(INDEX(FORECAST!$D$3:$D$475, MATCH(1, INDEX((ISNUMBER(SEARCH($B17, FORECAST!$A$3:$A$475))) * (INT(FORECAST!$B$3:$B$475) &lt;= E$12) * (INT(FORECAST!$C$3:$C$475) &gt;= E$12), 0), 0)), "")</f>
        <v/>
      </c>
      <c r="F17" s="4" t="str" cm="1">
        <f t="array" ref="F17">IFERROR(INDEX(FORECAST!$D$3:$D$475, MATCH(1, INDEX((ISNUMBER(SEARCH($B17, FORECAST!$A$3:$A$475))) * (INT(FORECAST!$B$3:$B$475) &lt;= F$12) * (INT(FORECAST!$C$3:$C$475) &gt;= F$12), 0), 0)), "")</f>
        <v/>
      </c>
      <c r="G17" s="4" t="str" cm="1">
        <f t="array" ref="G17">IFERROR(INDEX(FORECAST!$D$3:$D$475, MATCH(1, INDEX((ISNUMBER(SEARCH($B17, FORECAST!$A$3:$A$475))) * (INT(FORECAST!$B$3:$B$475) &lt;= G$12) * (INT(FORECAST!$C$3:$C$475) &gt;= G$12), 0), 0)), "")</f>
        <v/>
      </c>
      <c r="H17" s="4" t="str" cm="1">
        <f t="array" ref="H17">IFERROR(INDEX(FORECAST!$D$3:$D$475, MATCH(1, INDEX((ISNUMBER(SEARCH($B17, FORECAST!$A$3:$A$475))) * (INT(FORECAST!$B$3:$B$475) &lt;= H$12) * (INT(FORECAST!$C$3:$C$475) &gt;= H$12), 0), 0)), "")</f>
        <v/>
      </c>
      <c r="I17" s="4" t="str" cm="1">
        <f t="array" ref="I17">IFERROR(INDEX(FORECAST!$D$3:$D$475, MATCH(1, INDEX((ISNUMBER(SEARCH($B17, FORECAST!$A$3:$A$475))) * (INT(FORECAST!$B$3:$B$475) &lt;= I$12) * (INT(FORECAST!$C$3:$C$475) &gt;= I$12), 0), 0)), "")</f>
        <v/>
      </c>
      <c r="J17" s="4" t="str" cm="1">
        <f t="array" ref="J17">IFERROR(INDEX(FORECAST!$D$3:$D$475, MATCH(1, INDEX((ISNUMBER(SEARCH($B17, FORECAST!$A$3:$A$475))) * (INT(FORECAST!$B$3:$B$475) &lt;= J$12) * (INT(FORECAST!$C$3:$C$475) &gt;= J$12), 0), 0)), "")</f>
        <v/>
      </c>
      <c r="K17" s="4" t="str" cm="1">
        <f t="array" ref="K17">IFERROR(INDEX(FORECAST!$D$3:$D$475, MATCH(1, INDEX((ISNUMBER(SEARCH($B17, FORECAST!$A$3:$A$475))) * (INT(FORECAST!$B$3:$B$475) &lt;= K$12) * (INT(FORECAST!$C$3:$C$475) &gt;= K$12), 0), 0)), "")</f>
        <v/>
      </c>
      <c r="L17" s="4" t="str" cm="1">
        <f t="array" ref="L17">IFERROR(INDEX(FORECAST!$D$3:$D$475, MATCH(1, INDEX((ISNUMBER(SEARCH($B17, FORECAST!$A$3:$A$475))) * (INT(FORECAST!$B$3:$B$475) &lt;= L$12) * (INT(FORECAST!$C$3:$C$475) &gt;= L$12), 0), 0)), "")</f>
        <v/>
      </c>
      <c r="M17" s="4" t="str" cm="1">
        <f t="array" ref="M17">IFERROR(INDEX(FORECAST!$D$3:$D$475, MATCH(1, INDEX((ISNUMBER(SEARCH($B17, FORECAST!$A$3:$A$475))) * (INT(FORECAST!$B$3:$B$475) &lt;= M$12) * (INT(FORECAST!$C$3:$C$475) &gt;= M$12), 0), 0)), "")</f>
        <v/>
      </c>
      <c r="N17" s="4" t="str" cm="1">
        <f t="array" ref="N17">IFERROR(INDEX(FORECAST!$D$3:$D$475, MATCH(1, INDEX((ISNUMBER(SEARCH($B17, FORECAST!$A$3:$A$475))) * (INT(FORECAST!$B$3:$B$475) &lt;= N$12) * (INT(FORECAST!$C$3:$C$475) &gt;= N$12), 0), 0)), "")</f>
        <v/>
      </c>
      <c r="O17" s="4" t="str" cm="1">
        <f t="array" ref="O17">IFERROR(INDEX(FORECAST!$D$3:$D$475, MATCH(1, INDEX((ISNUMBER(SEARCH($B17, FORECAST!$A$3:$A$475))) * (INT(FORECAST!$B$3:$B$475) &lt;= O$12) * (INT(FORECAST!$C$3:$C$475) &gt;= O$12), 0), 0)), "")</f>
        <v/>
      </c>
      <c r="P17" s="4" t="str" cm="1">
        <f t="array" ref="P17">IFERROR(INDEX(FORECAST!$D$3:$D$475, MATCH(1, INDEX((ISNUMBER(SEARCH($B17, FORECAST!$A$3:$A$475))) * (INT(FORECAST!$B$3:$B$475) &lt;= P$12) * (INT(FORECAST!$C$3:$C$475) &gt;= P$12), 0), 0)), "")</f>
        <v/>
      </c>
      <c r="Q17" s="4" t="str" cm="1">
        <f t="array" ref="Q17">IFERROR(INDEX(FORECAST!$D$3:$D$475, MATCH(1, INDEX((ISNUMBER(SEARCH($B17, FORECAST!$A$3:$A$475))) * (INT(FORECAST!$B$3:$B$475) &lt;= Q$12) * (INT(FORECAST!$C$3:$C$475) &gt;= Q$12), 0), 0)), "")</f>
        <v/>
      </c>
      <c r="R17" s="4" t="str" cm="1">
        <f t="array" ref="R17">IFERROR(INDEX(FORECAST!$D$3:$D$475, MATCH(1, INDEX((ISNUMBER(SEARCH($B17, FORECAST!$A$3:$A$475))) * (INT(FORECAST!$B$3:$B$475) &lt;= R$12) * (INT(FORECAST!$C$3:$C$475) &gt;= R$12), 0), 0)), "")</f>
        <v/>
      </c>
      <c r="S17" s="4" t="str" cm="1">
        <f t="array" ref="S17">IFERROR(INDEX(FORECAST!$D$3:$D$475, MATCH(1, INDEX((ISNUMBER(SEARCH($B17, FORECAST!$A$3:$A$475))) * (INT(FORECAST!$B$3:$B$475) &lt;= S$12) * (INT(FORECAST!$C$3:$C$475) &gt;= S$12), 0), 0)), "")</f>
        <v/>
      </c>
      <c r="T17" s="4" t="str" cm="1">
        <f t="array" ref="T17">IFERROR(INDEX(FORECAST!$D$3:$D$475, MATCH(1, INDEX((ISNUMBER(SEARCH($B17, FORECAST!$A$3:$A$475))) * (INT(FORECAST!$B$3:$B$475) &lt;= T$12) * (INT(FORECAST!$C$3:$C$475) &gt;= T$12), 0), 0)), "")</f>
        <v/>
      </c>
      <c r="U17" s="4" t="str" cm="1">
        <f t="array" ref="U17">IFERROR(INDEX(FORECAST!$D$3:$D$475, MATCH(1, INDEX((ISNUMBER(SEARCH($B17, FORECAST!$A$3:$A$475))) * (INT(FORECAST!$B$3:$B$475) &lt;= U$12) * (INT(FORECAST!$C$3:$C$475) &gt;= U$12), 0), 0)), "")</f>
        <v/>
      </c>
      <c r="V17" s="4" t="str" cm="1">
        <f t="array" ref="V17">IFERROR(INDEX(FORECAST!$D$3:$D$475, MATCH(1, INDEX((ISNUMBER(SEARCH($B17, FORECAST!$A$3:$A$475))) * (INT(FORECAST!$B$3:$B$475) &lt;= V$12) * (INT(FORECAST!$C$3:$C$475) &gt;= V$12), 0), 0)), "")</f>
        <v/>
      </c>
      <c r="W17" s="4" t="str" cm="1">
        <f t="array" ref="W17">IFERROR(INDEX(FORECAST!$D$3:$D$475, MATCH(1, INDEX((ISNUMBER(SEARCH($B17, FORECAST!$A$3:$A$475))) * (INT(FORECAST!$B$3:$B$475) &lt;= W$12) * (INT(FORECAST!$C$3:$C$475) &gt;= W$12), 0), 0)), "")</f>
        <v/>
      </c>
      <c r="X17" s="4" t="str" cm="1">
        <f t="array" ref="X17">IFERROR(INDEX(FORECAST!$D$3:$D$475, MATCH(1, INDEX((ISNUMBER(SEARCH($B17, FORECAST!$A$3:$A$475))) * (INT(FORECAST!$B$3:$B$475) &lt;= X$12) * (INT(FORECAST!$C$3:$C$475) &gt;= X$12), 0), 0)), "")</f>
        <v/>
      </c>
      <c r="Y17" s="4" t="str" cm="1">
        <f t="array" ref="Y17">IFERROR(INDEX(FORECAST!$D$3:$D$475, MATCH(1, INDEX((ISNUMBER(SEARCH($B17, FORECAST!$A$3:$A$475))) * (INT(FORECAST!$B$3:$B$475) &lt;= Y$12) * (INT(FORECAST!$C$3:$C$475) &gt;= Y$12), 0), 0)), "")</f>
        <v/>
      </c>
      <c r="Z17" s="4" t="str" cm="1">
        <f t="array" ref="Z17">IFERROR(INDEX(FORECAST!$D$3:$D$475, MATCH(1, INDEX((ISNUMBER(SEARCH($B17, FORECAST!$A$3:$A$475))) * (INT(FORECAST!$B$3:$B$475) &lt;= Z$12) * (INT(FORECAST!$C$3:$C$475) &gt;= Z$12), 0), 0)), "")</f>
        <v/>
      </c>
      <c r="AA17" s="4" t="str" cm="1">
        <f t="array" ref="AA17">IFERROR(INDEX(FORECAST!$D$3:$D$475, MATCH(1, INDEX((ISNUMBER(SEARCH($B17, FORECAST!$A$3:$A$475))) * (INT(FORECAST!$B$3:$B$475) &lt;= AA$12) * (INT(FORECAST!$C$3:$C$475) &gt;= AA$12), 0), 0)), "")</f>
        <v/>
      </c>
      <c r="AB17" s="4" t="str" cm="1">
        <f t="array" ref="AB17">IFERROR(INDEX(FORECAST!$D$3:$D$475, MATCH(1, INDEX((ISNUMBER(SEARCH($B17, FORECAST!$A$3:$A$475))) * (INT(FORECAST!$B$3:$B$475) &lt;= AB$12) * (INT(FORECAST!$C$3:$C$475) &gt;= AB$12), 0), 0)), "")</f>
        <v/>
      </c>
      <c r="AC17" s="4" t="str" cm="1">
        <f t="array" ref="AC17">IFERROR(INDEX(FORECAST!$D$3:$D$475, MATCH(1, INDEX((ISNUMBER(SEARCH($B17, FORECAST!$A$3:$A$475))) * (INT(FORECAST!$B$3:$B$475) &lt;= AC$12) * (INT(FORECAST!$C$3:$C$475) &gt;= AC$12), 0), 0)), "")</f>
        <v/>
      </c>
      <c r="AD17" s="4" t="str" cm="1">
        <f t="array" ref="AD17">IFERROR(INDEX(FORECAST!$D$3:$D$475, MATCH(1, INDEX((ISNUMBER(SEARCH($B17, FORECAST!$A$3:$A$475))) * (INT(FORECAST!$B$3:$B$475) &lt;= AD$12) * (INT(FORECAST!$C$3:$C$475) &gt;= AD$12), 0), 0)), "")</f>
        <v/>
      </c>
      <c r="AE17" s="4" t="str" cm="1">
        <f t="array" ref="AE17">IFERROR(INDEX(FORECAST!$D$3:$D$475, MATCH(1, INDEX((ISNUMBER(SEARCH($B17, FORECAST!$A$3:$A$475))) * (INT(FORECAST!$B$3:$B$475) &lt;= AE$12) * (INT(FORECAST!$C$3:$C$475) &gt;= AE$12), 0), 0)), "")</f>
        <v/>
      </c>
      <c r="AF17" s="4" t="str" cm="1">
        <f t="array" ref="AF17">IFERROR(INDEX(FORECAST!$D$3:$D$475, MATCH(1, INDEX((ISNUMBER(SEARCH($B17, FORECAST!$A$3:$A$475))) * (INT(FORECAST!$B$3:$B$475) &lt;= AF$12) * (INT(FORECAST!$C$3:$C$475) &gt;= AF$12), 0), 0)), "")</f>
        <v/>
      </c>
      <c r="AG17" s="4" t="str" cm="1">
        <f t="array" ref="AG17">IFERROR(INDEX(FORECAST!$D$3:$D$475, MATCH(1, INDEX((ISNUMBER(SEARCH($B17, FORECAST!$A$3:$A$475))) * (INT(FORECAST!$B$3:$B$475) &lt;= AG$12) * (INT(FORECAST!$C$3:$C$475) &gt;= AG$12), 0), 0)), "")</f>
        <v/>
      </c>
      <c r="AJ17" s="45">
        <f t="shared" si="0"/>
        <v>0</v>
      </c>
    </row>
    <row r="18" spans="1:41" x14ac:dyDescent="0.25">
      <c r="A18" s="69"/>
      <c r="B18" s="26" t="s">
        <v>523</v>
      </c>
      <c r="C18" s="4" t="str" cm="1">
        <f t="array" ref="C18">IFERROR(INDEX(FORECAST!$D$3:$D$475, MATCH(1, INDEX((ISNUMBER(SEARCH($B18, FORECAST!$A$3:$A$475))) * (INT(FORECAST!$B$3:$B$475) &lt;= C$12) * (INT(FORECAST!$C$3:$C$475) &gt;= C$12), 0), 0)), "")</f>
        <v/>
      </c>
      <c r="D18" s="4" t="str" cm="1">
        <f t="array" ref="D18">IFERROR(INDEX(FORECAST!$D$3:$D$475, MATCH(1, INDEX((ISNUMBER(SEARCH($B18, FORECAST!$A$3:$A$475))) * (INT(FORECAST!$B$3:$B$475) &lt;= D$12) * (INT(FORECAST!$C$3:$C$475) &gt;= D$12), 0), 0)), "")</f>
        <v/>
      </c>
      <c r="E18" s="4" t="str" cm="1">
        <f t="array" ref="E18">IFERROR(INDEX(FORECAST!$D$3:$D$475, MATCH(1, INDEX((ISNUMBER(SEARCH($B18, FORECAST!$A$3:$A$475))) * (INT(FORECAST!$B$3:$B$475) &lt;= E$12) * (INT(FORECAST!$C$3:$C$475) &gt;= E$12), 0), 0)), "")</f>
        <v>Garantizado</v>
      </c>
      <c r="F18" s="4" t="str" cm="1">
        <f t="array" ref="F18">IFERROR(INDEX(FORECAST!$D$3:$D$475, MATCH(1, INDEX((ISNUMBER(SEARCH($B18, FORECAST!$A$3:$A$475))) * (INT(FORECAST!$B$3:$B$475) &lt;= F$12) * (INT(FORECAST!$C$3:$C$475) &gt;= F$12), 0), 0)), "")</f>
        <v>Garantizado</v>
      </c>
      <c r="G18" s="4" t="str" cm="1">
        <f t="array" ref="G18">IFERROR(INDEX(FORECAST!$D$3:$D$475, MATCH(1, INDEX((ISNUMBER(SEARCH($B18, FORECAST!$A$3:$A$475))) * (INT(FORECAST!$B$3:$B$475) &lt;= G$12) * (INT(FORECAST!$C$3:$C$475) &gt;= G$12), 0), 0)), "")</f>
        <v>Garantizado</v>
      </c>
      <c r="H18" s="4" t="str" cm="1">
        <f t="array" ref="H18">IFERROR(INDEX(FORECAST!$D$3:$D$475, MATCH(1, INDEX((ISNUMBER(SEARCH($B18, FORECAST!$A$3:$A$475))) * (INT(FORECAST!$B$3:$B$475) &lt;= H$12) * (INT(FORECAST!$C$3:$C$475) &gt;= H$12), 0), 0)), "")</f>
        <v>Garantizado</v>
      </c>
      <c r="I18" s="4" t="str" cm="1">
        <f t="array" ref="I18">IFERROR(INDEX(FORECAST!$D$3:$D$475, MATCH(1, INDEX((ISNUMBER(SEARCH($B18, FORECAST!$A$3:$A$475))) * (INT(FORECAST!$B$3:$B$475) &lt;= I$12) * (INT(FORECAST!$C$3:$C$475) &gt;= I$12), 0), 0)), "")</f>
        <v/>
      </c>
      <c r="J18" s="4" t="str" cm="1">
        <f t="array" ref="J18">IFERROR(INDEX(FORECAST!$D$3:$D$475, MATCH(1, INDEX((ISNUMBER(SEARCH($B18, FORECAST!$A$3:$A$475))) * (INT(FORECAST!$B$3:$B$475) &lt;= J$12) * (INT(FORECAST!$C$3:$C$475) &gt;= J$12), 0), 0)), "")</f>
        <v/>
      </c>
      <c r="K18" s="4" t="str" cm="1">
        <f t="array" ref="K18">IFERROR(INDEX(FORECAST!$D$3:$D$475, MATCH(1, INDEX((ISNUMBER(SEARCH($B18, FORECAST!$A$3:$A$475))) * (INT(FORECAST!$B$3:$B$475) &lt;= K$12) * (INT(FORECAST!$C$3:$C$475) &gt;= K$12), 0), 0)), "")</f>
        <v/>
      </c>
      <c r="L18" s="4" t="str" cm="1">
        <f t="array" ref="L18">IFERROR(INDEX(FORECAST!$D$3:$D$475, MATCH(1, INDEX((ISNUMBER(SEARCH($B18, FORECAST!$A$3:$A$475))) * (INT(FORECAST!$B$3:$B$475) &lt;= L$12) * (INT(FORECAST!$C$3:$C$475) &gt;= L$12), 0), 0)), "")</f>
        <v/>
      </c>
      <c r="M18" s="4" t="str" cm="1">
        <f t="array" ref="M18">IFERROR(INDEX(FORECAST!$D$3:$D$475, MATCH(1, INDEX((ISNUMBER(SEARCH($B18, FORECAST!$A$3:$A$475))) * (INT(FORECAST!$B$3:$B$475) &lt;= M$12) * (INT(FORECAST!$C$3:$C$475) &gt;= M$12), 0), 0)), "")</f>
        <v/>
      </c>
      <c r="N18" s="4" t="str" cm="1">
        <f t="array" ref="N18">IFERROR(INDEX(FORECAST!$D$3:$D$475, MATCH(1, INDEX((ISNUMBER(SEARCH($B18, FORECAST!$A$3:$A$475))) * (INT(FORECAST!$B$3:$B$475) &lt;= N$12) * (INT(FORECAST!$C$3:$C$475) &gt;= N$12), 0), 0)), "")</f>
        <v/>
      </c>
      <c r="O18" s="4" t="str" cm="1">
        <f t="array" ref="O18">IFERROR(INDEX(FORECAST!$D$3:$D$475, MATCH(1, INDEX((ISNUMBER(SEARCH($B18, FORECAST!$A$3:$A$475))) * (INT(FORECAST!$B$3:$B$475) &lt;= O$12) * (INT(FORECAST!$C$3:$C$475) &gt;= O$12), 0), 0)), "")</f>
        <v/>
      </c>
      <c r="P18" s="4" t="str" cm="1">
        <f t="array" ref="P18">IFERROR(INDEX(FORECAST!$D$3:$D$475, MATCH(1, INDEX((ISNUMBER(SEARCH($B18, FORECAST!$A$3:$A$475))) * (INT(FORECAST!$B$3:$B$475) &lt;= P$12) * (INT(FORECAST!$C$3:$C$475) &gt;= P$12), 0), 0)), "")</f>
        <v/>
      </c>
      <c r="Q18" s="4" t="str" cm="1">
        <f t="array" ref="Q18">IFERROR(INDEX(FORECAST!$D$3:$D$475, MATCH(1, INDEX((ISNUMBER(SEARCH($B18, FORECAST!$A$3:$A$475))) * (INT(FORECAST!$B$3:$B$475) &lt;= Q$12) * (INT(FORECAST!$C$3:$C$475) &gt;= Q$12), 0), 0)), "")</f>
        <v/>
      </c>
      <c r="R18" s="4" t="str" cm="1">
        <f t="array" ref="R18">IFERROR(INDEX(FORECAST!$D$3:$D$475, MATCH(1, INDEX((ISNUMBER(SEARCH($B18, FORECAST!$A$3:$A$475))) * (INT(FORECAST!$B$3:$B$475) &lt;= R$12) * (INT(FORECAST!$C$3:$C$475) &gt;= R$12), 0), 0)), "")</f>
        <v/>
      </c>
      <c r="S18" s="4" t="str" cm="1">
        <f t="array" ref="S18">IFERROR(INDEX(FORECAST!$D$3:$D$475, MATCH(1, INDEX((ISNUMBER(SEARCH($B18, FORECAST!$A$3:$A$475))) * (INT(FORECAST!$B$3:$B$475) &lt;= S$12) * (INT(FORECAST!$C$3:$C$475) &gt;= S$12), 0), 0)), "")</f>
        <v/>
      </c>
      <c r="T18" s="4" t="str" cm="1">
        <f t="array" ref="T18">IFERROR(INDEX(FORECAST!$D$3:$D$475, MATCH(1, INDEX((ISNUMBER(SEARCH($B18, FORECAST!$A$3:$A$475))) * (INT(FORECAST!$B$3:$B$475) &lt;= T$12) * (INT(FORECAST!$C$3:$C$475) &gt;= T$12), 0), 0)), "")</f>
        <v/>
      </c>
      <c r="U18" s="4" t="str" cm="1">
        <f t="array" ref="U18">IFERROR(INDEX(FORECAST!$D$3:$D$475, MATCH(1, INDEX((ISNUMBER(SEARCH($B18, FORECAST!$A$3:$A$475))) * (INT(FORECAST!$B$3:$B$475) &lt;= U$12) * (INT(FORECAST!$C$3:$C$475) &gt;= U$12), 0), 0)), "")</f>
        <v/>
      </c>
      <c r="V18" s="4" t="str" cm="1">
        <f t="array" ref="V18">IFERROR(INDEX(FORECAST!$D$3:$D$475, MATCH(1, INDEX((ISNUMBER(SEARCH($B18, FORECAST!$A$3:$A$475))) * (INT(FORECAST!$B$3:$B$475) &lt;= V$12) * (INT(FORECAST!$C$3:$C$475) &gt;= V$12), 0), 0)), "")</f>
        <v/>
      </c>
      <c r="W18" s="4" t="str" cm="1">
        <f t="array" ref="W18">IFERROR(INDEX(FORECAST!$D$3:$D$475, MATCH(1, INDEX((ISNUMBER(SEARCH($B18, FORECAST!$A$3:$A$475))) * (INT(FORECAST!$B$3:$B$475) &lt;= W$12) * (INT(FORECAST!$C$3:$C$475) &gt;= W$12), 0), 0)), "")</f>
        <v/>
      </c>
      <c r="X18" s="4" t="str" cm="1">
        <f t="array" ref="X18">IFERROR(INDEX(FORECAST!$D$3:$D$475, MATCH(1, INDEX((ISNUMBER(SEARCH($B18, FORECAST!$A$3:$A$475))) * (INT(FORECAST!$B$3:$B$475) &lt;= X$12) * (INT(FORECAST!$C$3:$C$475) &gt;= X$12), 0), 0)), "")</f>
        <v/>
      </c>
      <c r="Y18" s="4" t="str" cm="1">
        <f t="array" ref="Y18">IFERROR(INDEX(FORECAST!$D$3:$D$475, MATCH(1, INDEX((ISNUMBER(SEARCH($B18, FORECAST!$A$3:$A$475))) * (INT(FORECAST!$B$3:$B$475) &lt;= Y$12) * (INT(FORECAST!$C$3:$C$475) &gt;= Y$12), 0), 0)), "")</f>
        <v/>
      </c>
      <c r="Z18" s="4" t="str" cm="1">
        <f t="array" ref="Z18">IFERROR(INDEX(FORECAST!$D$3:$D$475, MATCH(1, INDEX((ISNUMBER(SEARCH($B18, FORECAST!$A$3:$A$475))) * (INT(FORECAST!$B$3:$B$475) &lt;= Z$12) * (INT(FORECAST!$C$3:$C$475) &gt;= Z$12), 0), 0)), "")</f>
        <v/>
      </c>
      <c r="AA18" s="4" t="str" cm="1">
        <f t="array" ref="AA18">IFERROR(INDEX(FORECAST!$D$3:$D$475, MATCH(1, INDEX((ISNUMBER(SEARCH($B18, FORECAST!$A$3:$A$475))) * (INT(FORECAST!$B$3:$B$475) &lt;= AA$12) * (INT(FORECAST!$C$3:$C$475) &gt;= AA$12), 0), 0)), "")</f>
        <v/>
      </c>
      <c r="AB18" s="4" t="str" cm="1">
        <f t="array" ref="AB18">IFERROR(INDEX(FORECAST!$D$3:$D$475, MATCH(1, INDEX((ISNUMBER(SEARCH($B18, FORECAST!$A$3:$A$475))) * (INT(FORECAST!$B$3:$B$475) &lt;= AB$12) * (INT(FORECAST!$C$3:$C$475) &gt;= AB$12), 0), 0)), "")</f>
        <v/>
      </c>
      <c r="AC18" s="4" t="str" cm="1">
        <f t="array" ref="AC18">IFERROR(INDEX(FORECAST!$D$3:$D$475, MATCH(1, INDEX((ISNUMBER(SEARCH($B18, FORECAST!$A$3:$A$475))) * (INT(FORECAST!$B$3:$B$475) &lt;= AC$12) * (INT(FORECAST!$C$3:$C$475) &gt;= AC$12), 0), 0)), "")</f>
        <v/>
      </c>
      <c r="AD18" s="4" t="str" cm="1">
        <f t="array" ref="AD18">IFERROR(INDEX(FORECAST!$D$3:$D$475, MATCH(1, INDEX((ISNUMBER(SEARCH($B18, FORECAST!$A$3:$A$475))) * (INT(FORECAST!$B$3:$B$475) &lt;= AD$12) * (INT(FORECAST!$C$3:$C$475) &gt;= AD$12), 0), 0)), "")</f>
        <v>Garantizado</v>
      </c>
      <c r="AE18" s="4" t="str" cm="1">
        <f t="array" ref="AE18">IFERROR(INDEX(FORECAST!$D$3:$D$475, MATCH(1, INDEX((ISNUMBER(SEARCH($B18, FORECAST!$A$3:$A$475))) * (INT(FORECAST!$B$3:$B$475) &lt;= AE$12) * (INT(FORECAST!$C$3:$C$475) &gt;= AE$12), 0), 0)), "")</f>
        <v>Garantizado</v>
      </c>
      <c r="AF18" s="4" t="str" cm="1">
        <f t="array" ref="AF18">IFERROR(INDEX(FORECAST!$D$3:$D$475, MATCH(1, INDEX((ISNUMBER(SEARCH($B18, FORECAST!$A$3:$A$475))) * (INT(FORECAST!$B$3:$B$475) &lt;= AF$12) * (INT(FORECAST!$C$3:$C$475) &gt;= AF$12), 0), 0)), "")</f>
        <v/>
      </c>
      <c r="AG18" s="4" t="str" cm="1">
        <f t="array" ref="AG18">IFERROR(INDEX(FORECAST!$D$3:$D$475, MATCH(1, INDEX((ISNUMBER(SEARCH($B18, FORECAST!$A$3:$A$475))) * (INT(FORECAST!$B$3:$B$475) &lt;= AG$12) * (INT(FORECAST!$C$3:$C$475) &gt;= AG$12), 0), 0)), "")</f>
        <v/>
      </c>
      <c r="AJ18" s="45">
        <f t="shared" si="0"/>
        <v>0.19354838709677419</v>
      </c>
    </row>
    <row r="19" spans="1:41" x14ac:dyDescent="0.25">
      <c r="A19" s="69"/>
      <c r="B19" s="26" t="s">
        <v>9</v>
      </c>
      <c r="C19" s="4" t="str" cm="1">
        <f t="array" ref="C19">IFERROR(INDEX(FORECAST!$D$3:$D$475, MATCH(1, INDEX((ISNUMBER(SEARCH($B19, FORECAST!$A$3:$A$475))) * (INT(FORECAST!$B$3:$B$475) &lt;= C$12) * (INT(FORECAST!$C$3:$C$475) &gt;= C$12), 0), 0)), "")</f>
        <v>Garantizado</v>
      </c>
      <c r="D19" s="4" t="str" cm="1">
        <f t="array" ref="D19">IFERROR(INDEX(FORECAST!$D$3:$D$475, MATCH(1, INDEX((ISNUMBER(SEARCH($B19, FORECAST!$A$3:$A$475))) * (INT(FORECAST!$B$3:$B$475) &lt;= D$12) * (INT(FORECAST!$C$3:$C$475) &gt;= D$12), 0), 0)), "")</f>
        <v/>
      </c>
      <c r="E19" s="4" t="str" cm="1">
        <f t="array" ref="E19">IFERROR(INDEX(FORECAST!$D$3:$D$475, MATCH(1, INDEX((ISNUMBER(SEARCH($B19, FORECAST!$A$3:$A$475))) * (INT(FORECAST!$B$3:$B$475) &lt;= E$12) * (INT(FORECAST!$C$3:$C$475) &gt;= E$12), 0), 0)), "")</f>
        <v/>
      </c>
      <c r="F19" s="4" t="str" cm="1">
        <f t="array" ref="F19">IFERROR(INDEX(FORECAST!$D$3:$D$475, MATCH(1, INDEX((ISNUMBER(SEARCH($B19, FORECAST!$A$3:$A$475))) * (INT(FORECAST!$B$3:$B$475) &lt;= F$12) * (INT(FORECAST!$C$3:$C$475) &gt;= F$12), 0), 0)), "")</f>
        <v/>
      </c>
      <c r="G19" s="4" t="str" cm="1">
        <f t="array" ref="G19">IFERROR(INDEX(FORECAST!$D$3:$D$475, MATCH(1, INDEX((ISNUMBER(SEARCH($B19, FORECAST!$A$3:$A$475))) * (INT(FORECAST!$B$3:$B$475) &lt;= G$12) * (INT(FORECAST!$C$3:$C$475) &gt;= G$12), 0), 0)), "")</f>
        <v/>
      </c>
      <c r="H19" s="4" t="str" cm="1">
        <f t="array" ref="H19">IFERROR(INDEX(FORECAST!$D$3:$D$475, MATCH(1, INDEX((ISNUMBER(SEARCH($B19, FORECAST!$A$3:$A$475))) * (INT(FORECAST!$B$3:$B$475) &lt;= H$12) * (INT(FORECAST!$C$3:$C$475) &gt;= H$12), 0), 0)), "")</f>
        <v/>
      </c>
      <c r="I19" s="4" t="str" cm="1">
        <f t="array" ref="I19">IFERROR(INDEX(FORECAST!$D$3:$D$475, MATCH(1, INDEX((ISNUMBER(SEARCH($B19, FORECAST!$A$3:$A$475))) * (INT(FORECAST!$B$3:$B$475) &lt;= I$12) * (INT(FORECAST!$C$3:$C$475) &gt;= I$12), 0), 0)), "")</f>
        <v>Garantizado</v>
      </c>
      <c r="J19" s="4" t="str" cm="1">
        <f t="array" ref="J19">IFERROR(INDEX(FORECAST!$D$3:$D$475, MATCH(1, INDEX((ISNUMBER(SEARCH($B19, FORECAST!$A$3:$A$475))) * (INT(FORECAST!$B$3:$B$475) &lt;= J$12) * (INT(FORECAST!$C$3:$C$475) &gt;= J$12), 0), 0)), "")</f>
        <v>Garantizado</v>
      </c>
      <c r="K19" s="4" t="str" cm="1">
        <f t="array" ref="K19">IFERROR(INDEX(FORECAST!$D$3:$D$475, MATCH(1, INDEX((ISNUMBER(SEARCH($B19, FORECAST!$A$3:$A$475))) * (INT(FORECAST!$B$3:$B$475) &lt;= K$12) * (INT(FORECAST!$C$3:$C$475) &gt;= K$12), 0), 0)), "")</f>
        <v>Garantizado</v>
      </c>
      <c r="L19" s="4" t="str" cm="1">
        <f t="array" ref="L19">IFERROR(INDEX(FORECAST!$D$3:$D$475, MATCH(1, INDEX((ISNUMBER(SEARCH($B19, FORECAST!$A$3:$A$475))) * (INT(FORECAST!$B$3:$B$475) &lt;= L$12) * (INT(FORECAST!$C$3:$C$475) &gt;= L$12), 0), 0)), "")</f>
        <v>Garantizado</v>
      </c>
      <c r="M19" s="4" t="str" cm="1">
        <f t="array" ref="M19">IFERROR(INDEX(FORECAST!$D$3:$D$475, MATCH(1, INDEX((ISNUMBER(SEARCH($B19, FORECAST!$A$3:$A$475))) * (INT(FORECAST!$B$3:$B$475) &lt;= M$12) * (INT(FORECAST!$C$3:$C$475) &gt;= M$12), 0), 0)), "")</f>
        <v/>
      </c>
      <c r="N19" s="4" t="str" cm="1">
        <f t="array" ref="N19">IFERROR(INDEX(FORECAST!$D$3:$D$475, MATCH(1, INDEX((ISNUMBER(SEARCH($B19, FORECAST!$A$3:$A$475))) * (INT(FORECAST!$B$3:$B$475) &lt;= N$12) * (INT(FORECAST!$C$3:$C$475) &gt;= N$12), 0), 0)), "")</f>
        <v/>
      </c>
      <c r="O19" s="4" t="str" cm="1">
        <f t="array" ref="O19">IFERROR(INDEX(FORECAST!$D$3:$D$475, MATCH(1, INDEX((ISNUMBER(SEARCH($B19, FORECAST!$A$3:$A$475))) * (INT(FORECAST!$B$3:$B$475) &lt;= O$12) * (INT(FORECAST!$C$3:$C$475) &gt;= O$12), 0), 0)), "")</f>
        <v/>
      </c>
      <c r="P19" s="4" t="str" cm="1">
        <f t="array" ref="P19">IFERROR(INDEX(FORECAST!$D$3:$D$475, MATCH(1, INDEX((ISNUMBER(SEARCH($B19, FORECAST!$A$3:$A$475))) * (INT(FORECAST!$B$3:$B$475) &lt;= P$12) * (INT(FORECAST!$C$3:$C$475) &gt;= P$12), 0), 0)), "")</f>
        <v/>
      </c>
      <c r="Q19" s="4" t="str" cm="1">
        <f t="array" ref="Q19">IFERROR(INDEX(FORECAST!$D$3:$D$475, MATCH(1, INDEX((ISNUMBER(SEARCH($B19, FORECAST!$A$3:$A$475))) * (INT(FORECAST!$B$3:$B$475) &lt;= Q$12) * (INT(FORECAST!$C$3:$C$475) &gt;= Q$12), 0), 0)), "")</f>
        <v/>
      </c>
      <c r="R19" s="4" t="str" cm="1">
        <f t="array" ref="R19">IFERROR(INDEX(FORECAST!$D$3:$D$475, MATCH(1, INDEX((ISNUMBER(SEARCH($B19, FORECAST!$A$3:$A$475))) * (INT(FORECAST!$B$3:$B$475) &lt;= R$12) * (INT(FORECAST!$C$3:$C$475) &gt;= R$12), 0), 0)), "")</f>
        <v/>
      </c>
      <c r="S19" s="4" t="str" cm="1">
        <f t="array" ref="S19">IFERROR(INDEX(FORECAST!$D$3:$D$475, MATCH(1, INDEX((ISNUMBER(SEARCH($B19, FORECAST!$A$3:$A$475))) * (INT(FORECAST!$B$3:$B$475) &lt;= S$12) * (INT(FORECAST!$C$3:$C$475) &gt;= S$12), 0), 0)), "")</f>
        <v/>
      </c>
      <c r="T19" s="4" t="str" cm="1">
        <f t="array" ref="T19">IFERROR(INDEX(FORECAST!$D$3:$D$475, MATCH(1, INDEX((ISNUMBER(SEARCH($B19, FORECAST!$A$3:$A$475))) * (INT(FORECAST!$B$3:$B$475) &lt;= T$12) * (INT(FORECAST!$C$3:$C$475) &gt;= T$12), 0), 0)), "")</f>
        <v/>
      </c>
      <c r="U19" s="4" t="str" cm="1">
        <f t="array" ref="U19">IFERROR(INDEX(FORECAST!$D$3:$D$475, MATCH(1, INDEX((ISNUMBER(SEARCH($B19, FORECAST!$A$3:$A$475))) * (INT(FORECAST!$B$3:$B$475) &lt;= U$12) * (INT(FORECAST!$C$3:$C$475) &gt;= U$12), 0), 0)), "")</f>
        <v/>
      </c>
      <c r="V19" s="4" t="str" cm="1">
        <f t="array" ref="V19">IFERROR(INDEX(FORECAST!$D$3:$D$475, MATCH(1, INDEX((ISNUMBER(SEARCH($B19, FORECAST!$A$3:$A$475))) * (INT(FORECAST!$B$3:$B$475) &lt;= V$12) * (INT(FORECAST!$C$3:$C$475) &gt;= V$12), 0), 0)), "")</f>
        <v/>
      </c>
      <c r="W19" s="4" t="str" cm="1">
        <f t="array" ref="W19">IFERROR(INDEX(FORECAST!$D$3:$D$475, MATCH(1, INDEX((ISNUMBER(SEARCH($B19, FORECAST!$A$3:$A$475))) * (INT(FORECAST!$B$3:$B$475) &lt;= W$12) * (INT(FORECAST!$C$3:$C$475) &gt;= W$12), 0), 0)), "")</f>
        <v/>
      </c>
      <c r="X19" s="4" t="str" cm="1">
        <f t="array" ref="X19">IFERROR(INDEX(FORECAST!$D$3:$D$475, MATCH(1, INDEX((ISNUMBER(SEARCH($B19, FORECAST!$A$3:$A$475))) * (INT(FORECAST!$B$3:$B$475) &lt;= X$12) * (INT(FORECAST!$C$3:$C$475) &gt;= X$12), 0), 0)), "")</f>
        <v/>
      </c>
      <c r="Y19" s="4" t="str" cm="1">
        <f t="array" ref="Y19">IFERROR(INDEX(FORECAST!$D$3:$D$475, MATCH(1, INDEX((ISNUMBER(SEARCH($B19, FORECAST!$A$3:$A$475))) * (INT(FORECAST!$B$3:$B$475) &lt;= Y$12) * (INT(FORECAST!$C$3:$C$475) &gt;= Y$12), 0), 0)), "")</f>
        <v/>
      </c>
      <c r="Z19" s="4" t="str" cm="1">
        <f t="array" ref="Z19">IFERROR(INDEX(FORECAST!$D$3:$D$475, MATCH(1, INDEX((ISNUMBER(SEARCH($B19, FORECAST!$A$3:$A$475))) * (INT(FORECAST!$B$3:$B$475) &lt;= Z$12) * (INT(FORECAST!$C$3:$C$475) &gt;= Z$12), 0), 0)), "")</f>
        <v/>
      </c>
      <c r="AA19" s="4" t="str" cm="1">
        <f t="array" ref="AA19">IFERROR(INDEX(FORECAST!$D$3:$D$475, MATCH(1, INDEX((ISNUMBER(SEARCH($B19, FORECAST!$A$3:$A$475))) * (INT(FORECAST!$B$3:$B$475) &lt;= AA$12) * (INT(FORECAST!$C$3:$C$475) &gt;= AA$12), 0), 0)), "")</f>
        <v/>
      </c>
      <c r="AB19" s="4" t="str" cm="1">
        <f t="array" ref="AB19">IFERROR(INDEX(FORECAST!$D$3:$D$475, MATCH(1, INDEX((ISNUMBER(SEARCH($B19, FORECAST!$A$3:$A$475))) * (INT(FORECAST!$B$3:$B$475) &lt;= AB$12) * (INT(FORECAST!$C$3:$C$475) &gt;= AB$12), 0), 0)), "")</f>
        <v/>
      </c>
      <c r="AC19" s="4" t="str" cm="1">
        <f t="array" ref="AC19">IFERROR(INDEX(FORECAST!$D$3:$D$475, MATCH(1, INDEX((ISNUMBER(SEARCH($B19, FORECAST!$A$3:$A$475))) * (INT(FORECAST!$B$3:$B$475) &lt;= AC$12) * (INT(FORECAST!$C$3:$C$475) &gt;= AC$12), 0), 0)), "")</f>
        <v/>
      </c>
      <c r="AD19" s="4" t="str" cm="1">
        <f t="array" ref="AD19">IFERROR(INDEX(FORECAST!$D$3:$D$475, MATCH(1, INDEX((ISNUMBER(SEARCH($B19, FORECAST!$A$3:$A$475))) * (INT(FORECAST!$B$3:$B$475) &lt;= AD$12) * (INT(FORECAST!$C$3:$C$475) &gt;= AD$12), 0), 0)), "")</f>
        <v/>
      </c>
      <c r="AE19" s="4" t="str" cm="1">
        <f t="array" ref="AE19">IFERROR(INDEX(FORECAST!$D$3:$D$475, MATCH(1, INDEX((ISNUMBER(SEARCH($B19, FORECAST!$A$3:$A$475))) * (INT(FORECAST!$B$3:$B$475) &lt;= AE$12) * (INT(FORECAST!$C$3:$C$475) &gt;= AE$12), 0), 0)), "")</f>
        <v/>
      </c>
      <c r="AF19" s="4" t="str" cm="1">
        <f t="array" ref="AF19">IFERROR(INDEX(FORECAST!$D$3:$D$475, MATCH(1, INDEX((ISNUMBER(SEARCH($B19, FORECAST!$A$3:$A$475))) * (INT(FORECAST!$B$3:$B$475) &lt;= AF$12) * (INT(FORECAST!$C$3:$C$475) &gt;= AF$12), 0), 0)), "")</f>
        <v/>
      </c>
      <c r="AG19" s="4" t="str" cm="1">
        <f t="array" ref="AG19">IFERROR(INDEX(FORECAST!$D$3:$D$475, MATCH(1, INDEX((ISNUMBER(SEARCH($B19, FORECAST!$A$3:$A$475))) * (INT(FORECAST!$B$3:$B$475) &lt;= AG$12) * (INT(FORECAST!$C$3:$C$475) &gt;= AG$12), 0), 0)), "")</f>
        <v/>
      </c>
      <c r="AJ19" s="45">
        <f t="shared" si="0"/>
        <v>0.16129032258064516</v>
      </c>
    </row>
    <row r="20" spans="1:41" x14ac:dyDescent="0.25">
      <c r="A20" s="69"/>
      <c r="B20" s="26" t="s">
        <v>80</v>
      </c>
      <c r="C20" s="4" t="str" cm="1">
        <f t="array" ref="C20">IFERROR(INDEX(FORECAST!$D$3:$D$475, MATCH(1, INDEX((ISNUMBER(SEARCH($B20, FORECAST!$A$3:$A$475))) * (INT(FORECAST!$B$3:$B$475) &lt;= C$12) * (INT(FORECAST!$C$3:$C$475) &gt;= C$12), 0), 0)), "")</f>
        <v/>
      </c>
      <c r="D20" s="4" t="str" cm="1">
        <f t="array" ref="D20">IFERROR(INDEX(FORECAST!$D$3:$D$475, MATCH(1, INDEX((ISNUMBER(SEARCH($B20, FORECAST!$A$3:$A$475))) * (INT(FORECAST!$B$3:$B$475) &lt;= D$12) * (INT(FORECAST!$C$3:$C$475) &gt;= D$12), 0), 0)), "")</f>
        <v/>
      </c>
      <c r="E20" s="4" t="str" cm="1">
        <f t="array" ref="E20">IFERROR(INDEX(FORECAST!$D$3:$D$475, MATCH(1, INDEX((ISNUMBER(SEARCH($B20, FORECAST!$A$3:$A$475))) * (INT(FORECAST!$B$3:$B$475) &lt;= E$12) * (INT(FORECAST!$C$3:$C$475) &gt;= E$12), 0), 0)), "")</f>
        <v/>
      </c>
      <c r="F20" s="4" t="str" cm="1">
        <f t="array" ref="F20">IFERROR(INDEX(FORECAST!$D$3:$D$475, MATCH(1, INDEX((ISNUMBER(SEARCH($B20, FORECAST!$A$3:$A$475))) * (INT(FORECAST!$B$3:$B$475) &lt;= F$12) * (INT(FORECAST!$C$3:$C$475) &gt;= F$12), 0), 0)), "")</f>
        <v/>
      </c>
      <c r="G20" s="4" t="str" cm="1">
        <f t="array" ref="G20">IFERROR(INDEX(FORECAST!$D$3:$D$475, MATCH(1, INDEX((ISNUMBER(SEARCH($B20, FORECAST!$A$3:$A$475))) * (INT(FORECAST!$B$3:$B$475) &lt;= G$12) * (INT(FORECAST!$C$3:$C$475) &gt;= G$12), 0), 0)), "")</f>
        <v/>
      </c>
      <c r="H20" s="4" t="str" cm="1">
        <f t="array" ref="H20">IFERROR(INDEX(FORECAST!$D$3:$D$475, MATCH(1, INDEX((ISNUMBER(SEARCH($B20, FORECAST!$A$3:$A$475))) * (INT(FORECAST!$B$3:$B$475) &lt;= H$12) * (INT(FORECAST!$C$3:$C$475) &gt;= H$12), 0), 0)), "")</f>
        <v/>
      </c>
      <c r="I20" s="4" t="str" cm="1">
        <f t="array" ref="I20">IFERROR(INDEX(FORECAST!$D$3:$D$475, MATCH(1, INDEX((ISNUMBER(SEARCH($B20, FORECAST!$A$3:$A$475))) * (INT(FORECAST!$B$3:$B$475) &lt;= I$12) * (INT(FORECAST!$C$3:$C$475) &gt;= I$12), 0), 0)), "")</f>
        <v/>
      </c>
      <c r="J20" s="4" t="str" cm="1">
        <f t="array" ref="J20">IFERROR(INDEX(FORECAST!$D$3:$D$475, MATCH(1, INDEX((ISNUMBER(SEARCH($B20, FORECAST!$A$3:$A$475))) * (INT(FORECAST!$B$3:$B$475) &lt;= J$12) * (INT(FORECAST!$C$3:$C$475) &gt;= J$12), 0), 0)), "")</f>
        <v/>
      </c>
      <c r="K20" s="4" t="str" cm="1">
        <f t="array" ref="K20">IFERROR(INDEX(FORECAST!$D$3:$D$475, MATCH(1, INDEX((ISNUMBER(SEARCH($B20, FORECAST!$A$3:$A$475))) * (INT(FORECAST!$B$3:$B$475) &lt;= K$12) * (INT(FORECAST!$C$3:$C$475) &gt;= K$12), 0), 0)), "")</f>
        <v/>
      </c>
      <c r="L20" s="4" t="str" cm="1">
        <f t="array" ref="L20">IFERROR(INDEX(FORECAST!$D$3:$D$475, MATCH(1, INDEX((ISNUMBER(SEARCH($B20, FORECAST!$A$3:$A$475))) * (INT(FORECAST!$B$3:$B$475) &lt;= L$12) * (INT(FORECAST!$C$3:$C$475) &gt;= L$12), 0), 0)), "")</f>
        <v/>
      </c>
      <c r="M20" s="4" t="str" cm="1">
        <f t="array" ref="M20">IFERROR(INDEX(FORECAST!$D$3:$D$475, MATCH(1, INDEX((ISNUMBER(SEARCH($B20, FORECAST!$A$3:$A$475))) * (INT(FORECAST!$B$3:$B$475) &lt;= M$12) * (INT(FORECAST!$C$3:$C$475) &gt;= M$12), 0), 0)), "")</f>
        <v/>
      </c>
      <c r="N20" s="4" t="str" cm="1">
        <f t="array" ref="N20">IFERROR(INDEX(FORECAST!$D$3:$D$475, MATCH(1, INDEX((ISNUMBER(SEARCH($B20, FORECAST!$A$3:$A$475))) * (INT(FORECAST!$B$3:$B$475) &lt;= N$12) * (INT(FORECAST!$C$3:$C$475) &gt;= N$12), 0), 0)), "")</f>
        <v/>
      </c>
      <c r="O20" s="4" t="str" cm="1">
        <f t="array" ref="O20">IFERROR(INDEX(FORECAST!$D$3:$D$475, MATCH(1, INDEX((ISNUMBER(SEARCH($B20, FORECAST!$A$3:$A$475))) * (INT(FORECAST!$B$3:$B$475) &lt;= O$12) * (INT(FORECAST!$C$3:$C$475) &gt;= O$12), 0), 0)), "")</f>
        <v/>
      </c>
      <c r="P20" s="4" t="str" cm="1">
        <f t="array" ref="P20">IFERROR(INDEX(FORECAST!$D$3:$D$475, MATCH(1, INDEX((ISNUMBER(SEARCH($B20, FORECAST!$A$3:$A$475))) * (INT(FORECAST!$B$3:$B$475) &lt;= P$12) * (INT(FORECAST!$C$3:$C$475) &gt;= P$12), 0), 0)), "")</f>
        <v/>
      </c>
      <c r="Q20" s="4" t="str" cm="1">
        <f t="array" ref="Q20">IFERROR(INDEX(FORECAST!$D$3:$D$475, MATCH(1, INDEX((ISNUMBER(SEARCH($B20, FORECAST!$A$3:$A$475))) * (INT(FORECAST!$B$3:$B$475) &lt;= Q$12) * (INT(FORECAST!$C$3:$C$475) &gt;= Q$12), 0), 0)), "")</f>
        <v/>
      </c>
      <c r="R20" s="4" t="str" cm="1">
        <f t="array" ref="R20">IFERROR(INDEX(FORECAST!$D$3:$D$475, MATCH(1, INDEX((ISNUMBER(SEARCH($B20, FORECAST!$A$3:$A$475))) * (INT(FORECAST!$B$3:$B$475) &lt;= R$12) * (INT(FORECAST!$C$3:$C$475) &gt;= R$12), 0), 0)), "")</f>
        <v/>
      </c>
      <c r="S20" s="4" t="str" cm="1">
        <f t="array" ref="S20">IFERROR(INDEX(FORECAST!$D$3:$D$475, MATCH(1, INDEX((ISNUMBER(SEARCH($B20, FORECAST!$A$3:$A$475))) * (INT(FORECAST!$B$3:$B$475) &lt;= S$12) * (INT(FORECAST!$C$3:$C$475) &gt;= S$12), 0), 0)), "")</f>
        <v/>
      </c>
      <c r="T20" s="4" t="str" cm="1">
        <f t="array" ref="T20">IFERROR(INDEX(FORECAST!$D$3:$D$475, MATCH(1, INDEX((ISNUMBER(SEARCH($B20, FORECAST!$A$3:$A$475))) * (INT(FORECAST!$B$3:$B$475) &lt;= T$12) * (INT(FORECAST!$C$3:$C$475) &gt;= T$12), 0), 0)), "")</f>
        <v/>
      </c>
      <c r="U20" s="4" t="str" cm="1">
        <f t="array" ref="U20">IFERROR(INDEX(FORECAST!$D$3:$D$475, MATCH(1, INDEX((ISNUMBER(SEARCH($B20, FORECAST!$A$3:$A$475))) * (INT(FORECAST!$B$3:$B$475) &lt;= U$12) * (INT(FORECAST!$C$3:$C$475) &gt;= U$12), 0), 0)), "")</f>
        <v/>
      </c>
      <c r="V20" s="4" t="str" cm="1">
        <f t="array" ref="V20">IFERROR(INDEX(FORECAST!$D$3:$D$475, MATCH(1, INDEX((ISNUMBER(SEARCH($B20, FORECAST!$A$3:$A$475))) * (INT(FORECAST!$B$3:$B$475) &lt;= V$12) * (INT(FORECAST!$C$3:$C$475) &gt;= V$12), 0), 0)), "")</f>
        <v/>
      </c>
      <c r="W20" s="4" t="str" cm="1">
        <f t="array" ref="W20">IFERROR(INDEX(FORECAST!$D$3:$D$475, MATCH(1, INDEX((ISNUMBER(SEARCH($B20, FORECAST!$A$3:$A$475))) * (INT(FORECAST!$B$3:$B$475) &lt;= W$12) * (INT(FORECAST!$C$3:$C$475) &gt;= W$12), 0), 0)), "")</f>
        <v/>
      </c>
      <c r="X20" s="4" t="str" cm="1">
        <f t="array" ref="X20">IFERROR(INDEX(FORECAST!$D$3:$D$475, MATCH(1, INDEX((ISNUMBER(SEARCH($B20, FORECAST!$A$3:$A$475))) * (INT(FORECAST!$B$3:$B$475) &lt;= X$12) * (INT(FORECAST!$C$3:$C$475) &gt;= X$12), 0), 0)), "")</f>
        <v/>
      </c>
      <c r="Y20" s="4" t="str" cm="1">
        <f t="array" ref="Y20">IFERROR(INDEX(FORECAST!$D$3:$D$475, MATCH(1, INDEX((ISNUMBER(SEARCH($B20, FORECAST!$A$3:$A$475))) * (INT(FORECAST!$B$3:$B$475) &lt;= Y$12) * (INT(FORECAST!$C$3:$C$475) &gt;= Y$12), 0), 0)), "")</f>
        <v/>
      </c>
      <c r="Z20" s="4" t="str" cm="1">
        <f t="array" ref="Z20">IFERROR(INDEX(FORECAST!$D$3:$D$475, MATCH(1, INDEX((ISNUMBER(SEARCH($B20, FORECAST!$A$3:$A$475))) * (INT(FORECAST!$B$3:$B$475) &lt;= Z$12) * (INT(FORECAST!$C$3:$C$475) &gt;= Z$12), 0), 0)), "")</f>
        <v/>
      </c>
      <c r="AA20" s="4" t="str" cm="1">
        <f t="array" ref="AA20">IFERROR(INDEX(FORECAST!$D$3:$D$475, MATCH(1, INDEX((ISNUMBER(SEARCH($B20, FORECAST!$A$3:$A$475))) * (INT(FORECAST!$B$3:$B$475) &lt;= AA$12) * (INT(FORECAST!$C$3:$C$475) &gt;= AA$12), 0), 0)), "")</f>
        <v/>
      </c>
      <c r="AB20" s="4" t="str" cm="1">
        <f t="array" ref="AB20">IFERROR(INDEX(FORECAST!$D$3:$D$475, MATCH(1, INDEX((ISNUMBER(SEARCH($B20, FORECAST!$A$3:$A$475))) * (INT(FORECAST!$B$3:$B$475) &lt;= AB$12) * (INT(FORECAST!$C$3:$C$475) &gt;= AB$12), 0), 0)), "")</f>
        <v/>
      </c>
      <c r="AC20" s="4" t="str" cm="1">
        <f t="array" ref="AC20">IFERROR(INDEX(FORECAST!$D$3:$D$475, MATCH(1, INDEX((ISNUMBER(SEARCH($B20, FORECAST!$A$3:$A$475))) * (INT(FORECAST!$B$3:$B$475) &lt;= AC$12) * (INT(FORECAST!$C$3:$C$475) &gt;= AC$12), 0), 0)), "")</f>
        <v/>
      </c>
      <c r="AD20" s="4" t="str" cm="1">
        <f t="array" ref="AD20">IFERROR(INDEX(FORECAST!$D$3:$D$475, MATCH(1, INDEX((ISNUMBER(SEARCH($B20, FORECAST!$A$3:$A$475))) * (INT(FORECAST!$B$3:$B$475) &lt;= AD$12) * (INT(FORECAST!$C$3:$C$475) &gt;= AD$12), 0), 0)), "")</f>
        <v/>
      </c>
      <c r="AE20" s="4" t="str" cm="1">
        <f t="array" ref="AE20">IFERROR(INDEX(FORECAST!$D$3:$D$475, MATCH(1, INDEX((ISNUMBER(SEARCH($B20, FORECAST!$A$3:$A$475))) * (INT(FORECAST!$B$3:$B$475) &lt;= AE$12) * (INT(FORECAST!$C$3:$C$475) &gt;= AE$12), 0), 0)), "")</f>
        <v/>
      </c>
      <c r="AF20" s="4" t="str" cm="1">
        <f t="array" ref="AF20">IFERROR(INDEX(FORECAST!$D$3:$D$475, MATCH(1, INDEX((ISNUMBER(SEARCH($B20, FORECAST!$A$3:$A$475))) * (INT(FORECAST!$B$3:$B$475) &lt;= AF$12) * (INT(FORECAST!$C$3:$C$475) &gt;= AF$12), 0), 0)), "")</f>
        <v/>
      </c>
      <c r="AG20" s="4" t="str" cm="1">
        <f t="array" ref="AG20">IFERROR(INDEX(FORECAST!$D$3:$D$475, MATCH(1, INDEX((ISNUMBER(SEARCH($B20, FORECAST!$A$3:$A$475))) * (INT(FORECAST!$B$3:$B$475) &lt;= AG$12) * (INT(FORECAST!$C$3:$C$475) &gt;= AG$12), 0), 0)), "")</f>
        <v/>
      </c>
      <c r="AJ20" s="45">
        <f t="shared" si="0"/>
        <v>0</v>
      </c>
    </row>
    <row r="21" spans="1:41" x14ac:dyDescent="0.25">
      <c r="A21" s="4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J21" s="18"/>
    </row>
    <row r="22" spans="1:41" x14ac:dyDescent="0.25">
      <c r="C22" s="7" t="s">
        <v>505</v>
      </c>
      <c r="D22" s="1" t="s">
        <v>506</v>
      </c>
      <c r="E22" s="1" t="s">
        <v>507</v>
      </c>
      <c r="F22" s="1" t="s">
        <v>508</v>
      </c>
      <c r="G22" s="1" t="s">
        <v>502</v>
      </c>
      <c r="H22" s="1" t="s">
        <v>503</v>
      </c>
      <c r="I22" s="7" t="s">
        <v>504</v>
      </c>
      <c r="J22" s="7" t="s">
        <v>505</v>
      </c>
      <c r="K22" s="1" t="s">
        <v>506</v>
      </c>
      <c r="L22" s="1" t="s">
        <v>507</v>
      </c>
      <c r="M22" s="1" t="s">
        <v>508</v>
      </c>
      <c r="N22" s="1" t="s">
        <v>502</v>
      </c>
      <c r="O22" s="1" t="s">
        <v>503</v>
      </c>
      <c r="P22" s="7" t="s">
        <v>504</v>
      </c>
      <c r="Q22" s="7" t="s">
        <v>505</v>
      </c>
      <c r="R22" s="13" t="s">
        <v>506</v>
      </c>
      <c r="S22" s="13" t="s">
        <v>507</v>
      </c>
      <c r="T22" s="1" t="s">
        <v>508</v>
      </c>
      <c r="U22" s="1" t="s">
        <v>502</v>
      </c>
      <c r="V22" s="1" t="s">
        <v>503</v>
      </c>
      <c r="W22" s="7" t="s">
        <v>509</v>
      </c>
      <c r="X22" s="7" t="s">
        <v>510</v>
      </c>
      <c r="Y22" s="1" t="s">
        <v>511</v>
      </c>
      <c r="Z22" s="16" t="s">
        <v>512</v>
      </c>
      <c r="AA22" s="1" t="s">
        <v>513</v>
      </c>
      <c r="AB22" s="1" t="s">
        <v>514</v>
      </c>
      <c r="AC22" s="1" t="s">
        <v>515</v>
      </c>
      <c r="AD22" s="7" t="s">
        <v>509</v>
      </c>
      <c r="AJ22" s="2"/>
    </row>
    <row r="23" spans="1:41" x14ac:dyDescent="0.25">
      <c r="C23" s="63">
        <v>46054</v>
      </c>
      <c r="D23" s="63">
        <v>46055</v>
      </c>
      <c r="E23" s="63">
        <v>46056</v>
      </c>
      <c r="F23" s="63">
        <v>46057</v>
      </c>
      <c r="G23" s="63">
        <v>46058</v>
      </c>
      <c r="H23" s="63">
        <v>46059</v>
      </c>
      <c r="I23" s="63">
        <v>46060</v>
      </c>
      <c r="J23" s="63">
        <v>46061</v>
      </c>
      <c r="K23" s="63">
        <v>46062</v>
      </c>
      <c r="L23" s="63">
        <v>46063</v>
      </c>
      <c r="M23" s="63">
        <v>46064</v>
      </c>
      <c r="N23" s="63">
        <v>46065</v>
      </c>
      <c r="O23" s="63">
        <v>46066</v>
      </c>
      <c r="P23" s="63">
        <v>46067</v>
      </c>
      <c r="Q23" s="63">
        <v>46068</v>
      </c>
      <c r="R23" s="63">
        <v>46069</v>
      </c>
      <c r="S23" s="63">
        <v>46070</v>
      </c>
      <c r="T23" s="63">
        <v>46071</v>
      </c>
      <c r="U23" s="63">
        <v>46072</v>
      </c>
      <c r="V23" s="63">
        <v>46073</v>
      </c>
      <c r="W23" s="63">
        <v>46074</v>
      </c>
      <c r="X23" s="63">
        <v>46075</v>
      </c>
      <c r="Y23" s="63">
        <v>46076</v>
      </c>
      <c r="Z23" s="63">
        <v>46077</v>
      </c>
      <c r="AA23" s="63">
        <v>46078</v>
      </c>
      <c r="AB23" s="63">
        <v>46079</v>
      </c>
      <c r="AC23" s="63">
        <v>46080</v>
      </c>
      <c r="AD23" s="63">
        <v>46081</v>
      </c>
      <c r="AJ23" s="22" t="s">
        <v>516</v>
      </c>
    </row>
    <row r="24" spans="1:41" ht="15" customHeight="1" x14ac:dyDescent="0.25">
      <c r="A24" s="70" t="s">
        <v>524</v>
      </c>
      <c r="B24" s="26" t="s">
        <v>518</v>
      </c>
      <c r="C24" s="4" t="str" cm="1">
        <f t="array" ref="C24">IFERROR(INDEX(FORECAST!$D$3:$D$475, MATCH(1, INDEX((ISNUMBER(SEARCH($B24, FORECAST!$A$3:$A$475))) * (INT(FORECAST!$B$3:$B$475) &lt;= C$23) * (INT(FORECAST!$C$3:$C$475) &gt;= C$23), 0), 0)), "")</f>
        <v/>
      </c>
      <c r="D24" s="4" t="str" cm="1">
        <f t="array" ref="D24">IFERROR(INDEX(FORECAST!$D$3:$D$475, MATCH(1, INDEX((ISNUMBER(SEARCH($B24, FORECAST!$A$3:$A$475))) * (INT(FORECAST!$B$3:$B$475) &lt;= D$23) * (INT(FORECAST!$C$3:$C$475) &gt;= D$23), 0), 0)), "")</f>
        <v/>
      </c>
      <c r="E24" s="4" t="str" cm="1">
        <f t="array" ref="E24">IFERROR(INDEX(FORECAST!$D$3:$D$475, MATCH(1, INDEX((ISNUMBER(SEARCH($B24, FORECAST!$A$3:$A$475))) * (INT(FORECAST!$B$3:$B$475) &lt;= E$23) * (INT(FORECAST!$C$3:$C$475) &gt;= E$23), 0), 0)), "")</f>
        <v/>
      </c>
      <c r="F24" s="4" t="str" cm="1">
        <f t="array" ref="F24">IFERROR(INDEX(FORECAST!$D$3:$D$475, MATCH(1, INDEX((ISNUMBER(SEARCH($B24, FORECAST!$A$3:$A$475))) * (INT(FORECAST!$B$3:$B$475) &lt;= F$23) * (INT(FORECAST!$C$3:$C$475) &gt;= F$23), 0), 0)), "")</f>
        <v/>
      </c>
      <c r="G24" s="4" t="str" cm="1">
        <f t="array" ref="G24">IFERROR(INDEX(FORECAST!$D$3:$D$475, MATCH(1, INDEX((ISNUMBER(SEARCH($B24, FORECAST!$A$3:$A$475))) * (INT(FORECAST!$B$3:$B$475) &lt;= G$23) * (INT(FORECAST!$C$3:$C$475) &gt;= G$23), 0), 0)), "")</f>
        <v/>
      </c>
      <c r="H24" s="4" t="str" cm="1">
        <f t="array" ref="H24">IFERROR(INDEX(FORECAST!$D$3:$D$475, MATCH(1, INDEX((ISNUMBER(SEARCH($B24, FORECAST!$A$3:$A$475))) * (INT(FORECAST!$B$3:$B$475) &lt;= H$23) * (INT(FORECAST!$C$3:$C$475) &gt;= H$23), 0), 0)), "")</f>
        <v/>
      </c>
      <c r="I24" s="4" t="str" cm="1">
        <f t="array" ref="I24">IFERROR(INDEX(FORECAST!$D$3:$D$475, MATCH(1, INDEX((ISNUMBER(SEARCH($B24, FORECAST!$A$3:$A$475))) * (INT(FORECAST!$B$3:$B$475) &lt;= I$23) * (INT(FORECAST!$C$3:$C$475) &gt;= I$23), 0), 0)), "")</f>
        <v/>
      </c>
      <c r="J24" s="4" t="str" cm="1">
        <f t="array" ref="J24">IFERROR(INDEX(FORECAST!$D$3:$D$475, MATCH(1, INDEX((ISNUMBER(SEARCH($B24, FORECAST!$A$3:$A$475))) * (INT(FORECAST!$B$3:$B$475) &lt;= J$23) * (INT(FORECAST!$C$3:$C$475) &gt;= J$23), 0), 0)), "")</f>
        <v/>
      </c>
      <c r="K24" s="4" t="str" cm="1">
        <f t="array" ref="K24">IFERROR(INDEX(FORECAST!$D$3:$D$475, MATCH(1, INDEX((ISNUMBER(SEARCH($B24, FORECAST!$A$3:$A$475))) * (INT(FORECAST!$B$3:$B$475) &lt;= K$23) * (INT(FORECAST!$C$3:$C$475) &gt;= K$23), 0), 0)), "")</f>
        <v/>
      </c>
      <c r="L24" s="4" t="str" cm="1">
        <f t="array" ref="L24">IFERROR(INDEX(FORECAST!$D$3:$D$475, MATCH(1, INDEX((ISNUMBER(SEARCH($B24, FORECAST!$A$3:$A$475))) * (INT(FORECAST!$B$3:$B$475) &lt;= L$23) * (INT(FORECAST!$C$3:$C$475) &gt;= L$23), 0), 0)), "")</f>
        <v/>
      </c>
      <c r="M24" s="4" t="str" cm="1">
        <f t="array" ref="M24">IFERROR(INDEX(FORECAST!$D$3:$D$475, MATCH(1, INDEX((ISNUMBER(SEARCH($B24, FORECAST!$A$3:$A$475))) * (INT(FORECAST!$B$3:$B$475) &lt;= M$23) * (INT(FORECAST!$C$3:$C$475) &gt;= M$23), 0), 0)), "")</f>
        <v/>
      </c>
      <c r="N24" s="4" t="str" cm="1">
        <f t="array" ref="N24">IFERROR(INDEX(FORECAST!$D$3:$D$475, MATCH(1, INDEX((ISNUMBER(SEARCH($B24, FORECAST!$A$3:$A$475))) * (INT(FORECAST!$B$3:$B$475) &lt;= N$23) * (INT(FORECAST!$C$3:$C$475) &gt;= N$23), 0), 0)), "")</f>
        <v/>
      </c>
      <c r="O24" s="4" t="str" cm="1">
        <f t="array" ref="O24">IFERROR(INDEX(FORECAST!$D$3:$D$475, MATCH(1, INDEX((ISNUMBER(SEARCH($B24, FORECAST!$A$3:$A$475))) * (INT(FORECAST!$B$3:$B$475) &lt;= O$23) * (INT(FORECAST!$C$3:$C$475) &gt;= O$23), 0), 0)), "")</f>
        <v/>
      </c>
      <c r="P24" s="4" t="str" cm="1">
        <f t="array" ref="P24">IFERROR(INDEX(FORECAST!$D$3:$D$475, MATCH(1, INDEX((ISNUMBER(SEARCH($B24, FORECAST!$A$3:$A$475))) * (INT(FORECAST!$B$3:$B$475) &lt;= P$23) * (INT(FORECAST!$C$3:$C$475) &gt;= P$23), 0), 0)), "")</f>
        <v/>
      </c>
      <c r="Q24" s="4" t="str" cm="1">
        <f t="array" ref="Q24">IFERROR(INDEX(FORECAST!$D$3:$D$475, MATCH(1, INDEX((ISNUMBER(SEARCH($B24, FORECAST!$A$3:$A$475))) * (INT(FORECAST!$B$3:$B$475) &lt;= Q$23) * (INT(FORECAST!$C$3:$C$475) &gt;= Q$23), 0), 0)), "")</f>
        <v/>
      </c>
      <c r="R24" s="4" t="str" cm="1">
        <f t="array" ref="R24">IFERROR(INDEX(FORECAST!$D$3:$D$475, MATCH(1, INDEX((ISNUMBER(SEARCH($B24, FORECAST!$A$3:$A$475))) * (INT(FORECAST!$B$3:$B$475) &lt;= R$23) * (INT(FORECAST!$C$3:$C$475) &gt;= R$23), 0), 0)), "")</f>
        <v/>
      </c>
      <c r="S24" s="4" t="str" cm="1">
        <f t="array" ref="S24">IFERROR(INDEX(FORECAST!$D$3:$D$475, MATCH(1, INDEX((ISNUMBER(SEARCH($B24, FORECAST!$A$3:$A$475))) * (INT(FORECAST!$B$3:$B$475) &lt;= S$23) * (INT(FORECAST!$C$3:$C$475) &gt;= S$23), 0), 0)), "")</f>
        <v/>
      </c>
      <c r="T24" s="4" t="str" cm="1">
        <f t="array" ref="T24">IFERROR(INDEX(FORECAST!$D$3:$D$475, MATCH(1, INDEX((ISNUMBER(SEARCH($B24, FORECAST!$A$3:$A$475))) * (INT(FORECAST!$B$3:$B$475) &lt;= T$23) * (INT(FORECAST!$C$3:$C$475) &gt;= T$23), 0), 0)), "")</f>
        <v/>
      </c>
      <c r="U24" s="4" t="str" cm="1">
        <f t="array" ref="U24">IFERROR(INDEX(FORECAST!$D$3:$D$475, MATCH(1, INDEX((ISNUMBER(SEARCH($B24, FORECAST!$A$3:$A$475))) * (INT(FORECAST!$B$3:$B$475) &lt;= U$23) * (INT(FORECAST!$C$3:$C$475) &gt;= U$23), 0), 0)), "")</f>
        <v/>
      </c>
      <c r="V24" s="4" t="str" cm="1">
        <f t="array" ref="V24">IFERROR(INDEX(FORECAST!$D$3:$D$475, MATCH(1, INDEX((ISNUMBER(SEARCH($B24, FORECAST!$A$3:$A$475))) * (INT(FORECAST!$B$3:$B$475) &lt;= V$23) * (INT(FORECAST!$C$3:$C$475) &gt;= V$23), 0), 0)), "")</f>
        <v/>
      </c>
      <c r="W24" s="4" t="str" cm="1">
        <f t="array" ref="W24">IFERROR(INDEX(FORECAST!$D$3:$D$475, MATCH(1, INDEX((ISNUMBER(SEARCH($B24, FORECAST!$A$3:$A$475))) * (INT(FORECAST!$B$3:$B$475) &lt;= W$23) * (INT(FORECAST!$C$3:$C$475) &gt;= W$23), 0), 0)), "")</f>
        <v/>
      </c>
      <c r="X24" s="4" t="str" cm="1">
        <f t="array" ref="X24">IFERROR(INDEX(FORECAST!$D$3:$D$475, MATCH(1, INDEX((ISNUMBER(SEARCH($B24, FORECAST!$A$3:$A$475))) * (INT(FORECAST!$B$3:$B$475) &lt;= X$23) * (INT(FORECAST!$C$3:$C$475) &gt;= X$23), 0), 0)), "")</f>
        <v/>
      </c>
      <c r="Y24" s="4" t="str" cm="1">
        <f t="array" ref="Y24">IFERROR(INDEX(FORECAST!$D$3:$D$475, MATCH(1, INDEX((ISNUMBER(SEARCH($B24, FORECAST!$A$3:$A$475))) * (INT(FORECAST!$B$3:$B$475) &lt;= Y$23) * (INT(FORECAST!$C$3:$C$475) &gt;= Y$23), 0), 0)), "")</f>
        <v/>
      </c>
      <c r="Z24" s="4" t="str" cm="1">
        <f t="array" ref="Z24">IFERROR(INDEX(FORECAST!$D$3:$D$475, MATCH(1, INDEX((ISNUMBER(SEARCH($B24, FORECAST!$A$3:$A$475))) * (INT(FORECAST!$B$3:$B$475) &lt;= Z$23) * (INT(FORECAST!$C$3:$C$475) &gt;= Z$23), 0), 0)), "")</f>
        <v/>
      </c>
      <c r="AA24" s="4" t="str" cm="1">
        <f t="array" ref="AA24">IFERROR(INDEX(FORECAST!$D$3:$D$475, MATCH(1, INDEX((ISNUMBER(SEARCH($B24, FORECAST!$A$3:$A$475))) * (INT(FORECAST!$B$3:$B$475) &lt;= AA$23) * (INT(FORECAST!$C$3:$C$475) &gt;= AA$23), 0), 0)), "")</f>
        <v/>
      </c>
      <c r="AB24" s="4" t="str" cm="1">
        <f t="array" ref="AB24">IFERROR(INDEX(FORECAST!$D$3:$D$475, MATCH(1, INDEX((ISNUMBER(SEARCH($B24, FORECAST!$A$3:$A$475))) * (INT(FORECAST!$B$3:$B$475) &lt;= AB$23) * (INT(FORECAST!$C$3:$C$475) &gt;= AB$23), 0), 0)), "")</f>
        <v/>
      </c>
      <c r="AC24" s="4" t="str" cm="1">
        <f t="array" ref="AC24">IFERROR(INDEX(FORECAST!$D$3:$D$475, MATCH(1, INDEX((ISNUMBER(SEARCH($B24, FORECAST!$A$3:$A$475))) * (INT(FORECAST!$B$3:$B$475) &lt;= AC$23) * (INT(FORECAST!$C$3:$C$475) &gt;= AC$23), 0), 0)), "")</f>
        <v/>
      </c>
      <c r="AD24" s="4" t="str" cm="1">
        <f t="array" ref="AD24">IFERROR(INDEX(FORECAST!$D$3:$D$475, MATCH(1, INDEX((ISNUMBER(SEARCH($B24, FORECAST!$A$3:$A$475))) * (INT(FORECAST!$B$3:$B$475) &lt;= AD$23) * (INT(FORECAST!$C$3:$C$475) &gt;= AD$23), 0), 0)), "")</f>
        <v/>
      </c>
      <c r="AF24" s="15"/>
      <c r="AG24" s="16"/>
      <c r="AH24" s="16"/>
      <c r="AI24" s="2"/>
      <c r="AJ24" s="45">
        <f>COUNTIF(C24:AD24,"Garantizado")/28</f>
        <v>0</v>
      </c>
    </row>
    <row r="25" spans="1:41" x14ac:dyDescent="0.25">
      <c r="A25" s="71"/>
      <c r="B25" s="26" t="s">
        <v>519</v>
      </c>
      <c r="C25" s="4" t="str" cm="1">
        <f t="array" ref="C25">IFERROR(INDEX(FORECAST!$D$3:$D$475, MATCH(1, INDEX((ISNUMBER(SEARCH($B25, FORECAST!$A$3:$A$475))) * (INT(FORECAST!$B$3:$B$475) &lt;= C$23) * (INT(FORECAST!$C$3:$C$475) &gt;= C$23), 0), 0)), "")</f>
        <v/>
      </c>
      <c r="D25" s="4" t="str" cm="1">
        <f t="array" ref="D25">IFERROR(INDEX(FORECAST!$D$3:$D$475, MATCH(1, INDEX((ISNUMBER(SEARCH($B25, FORECAST!$A$3:$A$475))) * (INT(FORECAST!$B$3:$B$475) &lt;= D$23) * (INT(FORECAST!$C$3:$C$475) &gt;= D$23), 0), 0)), "")</f>
        <v/>
      </c>
      <c r="E25" s="4" t="str" cm="1">
        <f t="array" ref="E25">IFERROR(INDEX(FORECAST!$D$3:$D$475, MATCH(1, INDEX((ISNUMBER(SEARCH($B25, FORECAST!$A$3:$A$475))) * (INT(FORECAST!$B$3:$B$475) &lt;= E$23) * (INT(FORECAST!$C$3:$C$475) &gt;= E$23), 0), 0)), "")</f>
        <v/>
      </c>
      <c r="F25" s="4" t="str" cm="1">
        <f t="array" ref="F25">IFERROR(INDEX(FORECAST!$D$3:$D$475, MATCH(1, INDEX((ISNUMBER(SEARCH($B25, FORECAST!$A$3:$A$475))) * (INT(FORECAST!$B$3:$B$475) &lt;= F$23) * (INT(FORECAST!$C$3:$C$475) &gt;= F$23), 0), 0)), "")</f>
        <v/>
      </c>
      <c r="G25" s="4" t="str" cm="1">
        <f t="array" ref="G25">IFERROR(INDEX(FORECAST!$D$3:$D$475, MATCH(1, INDEX((ISNUMBER(SEARCH($B25, FORECAST!$A$3:$A$475))) * (INT(FORECAST!$B$3:$B$475) &lt;= G$23) * (INT(FORECAST!$C$3:$C$475) &gt;= G$23), 0), 0)), "")</f>
        <v/>
      </c>
      <c r="H25" s="4" t="str" cm="1">
        <f t="array" ref="H25">IFERROR(INDEX(FORECAST!$D$3:$D$475, MATCH(1, INDEX((ISNUMBER(SEARCH($B25, FORECAST!$A$3:$A$475))) * (INT(FORECAST!$B$3:$B$475) &lt;= H$23) * (INT(FORECAST!$C$3:$C$475) &gt;= H$23), 0), 0)), "")</f>
        <v/>
      </c>
      <c r="I25" s="4" t="str" cm="1">
        <f t="array" ref="I25">IFERROR(INDEX(FORECAST!$D$3:$D$475, MATCH(1, INDEX((ISNUMBER(SEARCH($B25, FORECAST!$A$3:$A$475))) * (INT(FORECAST!$B$3:$B$475) &lt;= I$23) * (INT(FORECAST!$C$3:$C$475) &gt;= I$23), 0), 0)), "")</f>
        <v/>
      </c>
      <c r="J25" s="4" t="str" cm="1">
        <f t="array" ref="J25">IFERROR(INDEX(FORECAST!$D$3:$D$475, MATCH(1, INDEX((ISNUMBER(SEARCH($B25, FORECAST!$A$3:$A$475))) * (INT(FORECAST!$B$3:$B$475) &lt;= J$23) * (INT(FORECAST!$C$3:$C$475) &gt;= J$23), 0), 0)), "")</f>
        <v/>
      </c>
      <c r="K25" s="4" t="str" cm="1">
        <f t="array" ref="K25">IFERROR(INDEX(FORECAST!$D$3:$D$475, MATCH(1, INDEX((ISNUMBER(SEARCH($B25, FORECAST!$A$3:$A$475))) * (INT(FORECAST!$B$3:$B$475) &lt;= K$23) * (INT(FORECAST!$C$3:$C$475) &gt;= K$23), 0), 0)), "")</f>
        <v/>
      </c>
      <c r="L25" s="4" t="str" cm="1">
        <f t="array" ref="L25">IFERROR(INDEX(FORECAST!$D$3:$D$475, MATCH(1, INDEX((ISNUMBER(SEARCH($B25, FORECAST!$A$3:$A$475))) * (INT(FORECAST!$B$3:$B$475) &lt;= L$23) * (INT(FORECAST!$C$3:$C$475) &gt;= L$23), 0), 0)), "")</f>
        <v/>
      </c>
      <c r="M25" s="4" t="str" cm="1">
        <f t="array" ref="M25">IFERROR(INDEX(FORECAST!$D$3:$D$475, MATCH(1, INDEX((ISNUMBER(SEARCH($B25, FORECAST!$A$3:$A$475))) * (INT(FORECAST!$B$3:$B$475) &lt;= M$23) * (INT(FORECAST!$C$3:$C$475) &gt;= M$23), 0), 0)), "")</f>
        <v/>
      </c>
      <c r="N25" s="4" t="str" cm="1">
        <f t="array" ref="N25">IFERROR(INDEX(FORECAST!$D$3:$D$475, MATCH(1, INDEX((ISNUMBER(SEARCH($B25, FORECAST!$A$3:$A$475))) * (INT(FORECAST!$B$3:$B$475) &lt;= N$23) * (INT(FORECAST!$C$3:$C$475) &gt;= N$23), 0), 0)), "")</f>
        <v>Garantizado</v>
      </c>
      <c r="O25" s="4" t="str" cm="1">
        <f t="array" ref="O25">IFERROR(INDEX(FORECAST!$D$3:$D$475, MATCH(1, INDEX((ISNUMBER(SEARCH($B25, FORECAST!$A$3:$A$475))) * (INT(FORECAST!$B$3:$B$475) &lt;= O$23) * (INT(FORECAST!$C$3:$C$475) &gt;= O$23), 0), 0)), "")</f>
        <v>Garantizado</v>
      </c>
      <c r="P25" s="4" t="str" cm="1">
        <f t="array" ref="P25">IFERROR(INDEX(FORECAST!$D$3:$D$475, MATCH(1, INDEX((ISNUMBER(SEARCH($B25, FORECAST!$A$3:$A$475))) * (INT(FORECAST!$B$3:$B$475) &lt;= P$23) * (INT(FORECAST!$C$3:$C$475) &gt;= P$23), 0), 0)), "")</f>
        <v>Garantizado</v>
      </c>
      <c r="Q25" s="4" t="str" cm="1">
        <f t="array" ref="Q25">IFERROR(INDEX(FORECAST!$D$3:$D$475, MATCH(1, INDEX((ISNUMBER(SEARCH($B25, FORECAST!$A$3:$A$475))) * (INT(FORECAST!$B$3:$B$475) &lt;= Q$23) * (INT(FORECAST!$C$3:$C$475) &gt;= Q$23), 0), 0)), "")</f>
        <v>Garantizado</v>
      </c>
      <c r="R25" s="4" t="str" cm="1">
        <f t="array" ref="R25">IFERROR(INDEX(FORECAST!$D$3:$D$475, MATCH(1, INDEX((ISNUMBER(SEARCH($B25, FORECAST!$A$3:$A$475))) * (INT(FORECAST!$B$3:$B$475) &lt;= R$23) * (INT(FORECAST!$C$3:$C$475) &gt;= R$23), 0), 0)), "")</f>
        <v/>
      </c>
      <c r="S25" s="4" t="str" cm="1">
        <f t="array" ref="S25">IFERROR(INDEX(FORECAST!$D$3:$D$475, MATCH(1, INDEX((ISNUMBER(SEARCH($B25, FORECAST!$A$3:$A$475))) * (INT(FORECAST!$B$3:$B$475) &lt;= S$23) * (INT(FORECAST!$C$3:$C$475) &gt;= S$23), 0), 0)), "")</f>
        <v/>
      </c>
      <c r="T25" s="4" t="str" cm="1">
        <f t="array" ref="T25">IFERROR(INDEX(FORECAST!$D$3:$D$475, MATCH(1, INDEX((ISNUMBER(SEARCH($B25, FORECAST!$A$3:$A$475))) * (INT(FORECAST!$B$3:$B$475) &lt;= T$23) * (INT(FORECAST!$C$3:$C$475) &gt;= T$23), 0), 0)), "")</f>
        <v/>
      </c>
      <c r="U25" s="4" t="str" cm="1">
        <f t="array" ref="U25">IFERROR(INDEX(FORECAST!$D$3:$D$475, MATCH(1, INDEX((ISNUMBER(SEARCH($B25, FORECAST!$A$3:$A$475))) * (INT(FORECAST!$B$3:$B$475) &lt;= U$23) * (INT(FORECAST!$C$3:$C$475) &gt;= U$23), 0), 0)), "")</f>
        <v/>
      </c>
      <c r="V25" s="4" t="str" cm="1">
        <f t="array" ref="V25">IFERROR(INDEX(FORECAST!$D$3:$D$475, MATCH(1, INDEX((ISNUMBER(SEARCH($B25, FORECAST!$A$3:$A$475))) * (INT(FORECAST!$B$3:$B$475) &lt;= V$23) * (INT(FORECAST!$C$3:$C$475) &gt;= V$23), 0), 0)), "")</f>
        <v/>
      </c>
      <c r="W25" s="4" t="str" cm="1">
        <f t="array" ref="W25">IFERROR(INDEX(FORECAST!$D$3:$D$475, MATCH(1, INDEX((ISNUMBER(SEARCH($B25, FORECAST!$A$3:$A$475))) * (INT(FORECAST!$B$3:$B$475) &lt;= W$23) * (INT(FORECAST!$C$3:$C$475) &gt;= W$23), 0), 0)), "")</f>
        <v/>
      </c>
      <c r="X25" s="4" t="str" cm="1">
        <f t="array" ref="X25">IFERROR(INDEX(FORECAST!$D$3:$D$475, MATCH(1, INDEX((ISNUMBER(SEARCH($B25, FORECAST!$A$3:$A$475))) * (INT(FORECAST!$B$3:$B$475) &lt;= X$23) * (INT(FORECAST!$C$3:$C$475) &gt;= X$23), 0), 0)), "")</f>
        <v/>
      </c>
      <c r="Y25" s="4" t="str" cm="1">
        <f t="array" ref="Y25">IFERROR(INDEX(FORECAST!$D$3:$D$475, MATCH(1, INDEX((ISNUMBER(SEARCH($B25, FORECAST!$A$3:$A$475))) * (INT(FORECAST!$B$3:$B$475) &lt;= Y$23) * (INT(FORECAST!$C$3:$C$475) &gt;= Y$23), 0), 0)), "")</f>
        <v/>
      </c>
      <c r="Z25" s="4" t="str" cm="1">
        <f t="array" ref="Z25">IFERROR(INDEX(FORECAST!$D$3:$D$475, MATCH(1, INDEX((ISNUMBER(SEARCH($B25, FORECAST!$A$3:$A$475))) * (INT(FORECAST!$B$3:$B$475) &lt;= Z$23) * (INT(FORECAST!$C$3:$C$475) &gt;= Z$23), 0), 0)), "")</f>
        <v/>
      </c>
      <c r="AA25" s="4" t="str" cm="1">
        <f t="array" ref="AA25">IFERROR(INDEX(FORECAST!$D$3:$D$475, MATCH(1, INDEX((ISNUMBER(SEARCH($B25, FORECAST!$A$3:$A$475))) * (INT(FORECAST!$B$3:$B$475) &lt;= AA$23) * (INT(FORECAST!$C$3:$C$475) &gt;= AA$23), 0), 0)), "")</f>
        <v/>
      </c>
      <c r="AB25" s="4" t="str" cm="1">
        <f t="array" ref="AB25">IFERROR(INDEX(FORECAST!$D$3:$D$475, MATCH(1, INDEX((ISNUMBER(SEARCH($B25, FORECAST!$A$3:$A$475))) * (INT(FORECAST!$B$3:$B$475) &lt;= AB$23) * (INT(FORECAST!$C$3:$C$475) &gt;= AB$23), 0), 0)), "")</f>
        <v/>
      </c>
      <c r="AC25" s="4" t="str" cm="1">
        <f t="array" ref="AC25">IFERROR(INDEX(FORECAST!$D$3:$D$475, MATCH(1, INDEX((ISNUMBER(SEARCH($B25, FORECAST!$A$3:$A$475))) * (INT(FORECAST!$B$3:$B$475) &lt;= AC$23) * (INT(FORECAST!$C$3:$C$475) &gt;= AC$23), 0), 0)), "")</f>
        <v>Garantizado</v>
      </c>
      <c r="AD25" s="4" t="str" cm="1">
        <f t="array" ref="AD25">IFERROR(INDEX(FORECAST!$D$3:$D$475, MATCH(1, INDEX((ISNUMBER(SEARCH($B25, FORECAST!$A$3:$A$475))) * (INT(FORECAST!$B$3:$B$475) &lt;= AD$23) * (INT(FORECAST!$C$3:$C$475) &gt;= AD$23), 0), 0)), "")</f>
        <v>Garantizado</v>
      </c>
      <c r="AF25" s="17"/>
      <c r="AG25" s="2"/>
      <c r="AH25" s="2"/>
      <c r="AI25" s="2"/>
      <c r="AJ25" s="45">
        <f t="shared" ref="AJ25:AJ31" si="1">COUNTIF(C25:AD25,"Garantizado")/28</f>
        <v>0.21428571428571427</v>
      </c>
    </row>
    <row r="26" spans="1:41" x14ac:dyDescent="0.25">
      <c r="A26" s="71"/>
      <c r="B26" s="26" t="s">
        <v>279</v>
      </c>
      <c r="C26" s="4" t="str" cm="1">
        <f t="array" ref="C26">IFERROR(INDEX(FORECAST!$D$3:$D$475, MATCH(1, INDEX((ISNUMBER(SEARCH($B26, FORECAST!$A$3:$A$475))) * (INT(FORECAST!$B$3:$B$475) &lt;= C$23) * (INT(FORECAST!$C$3:$C$475) &gt;= C$23), 0), 0)), "")</f>
        <v/>
      </c>
      <c r="D26" s="4" t="str" cm="1">
        <f t="array" ref="D26">IFERROR(INDEX(FORECAST!$D$3:$D$475, MATCH(1, INDEX((ISNUMBER(SEARCH($B26, FORECAST!$A$3:$A$475))) * (INT(FORECAST!$B$3:$B$475) &lt;= D$23) * (INT(FORECAST!$C$3:$C$475) &gt;= D$23), 0), 0)), "")</f>
        <v/>
      </c>
      <c r="E26" s="4" t="str" cm="1">
        <f t="array" ref="E26">IFERROR(INDEX(FORECAST!$D$3:$D$475, MATCH(1, INDEX((ISNUMBER(SEARCH($B26, FORECAST!$A$3:$A$475))) * (INT(FORECAST!$B$3:$B$475) &lt;= E$23) * (INT(FORECAST!$C$3:$C$475) &gt;= E$23), 0), 0)), "")</f>
        <v/>
      </c>
      <c r="F26" s="4" t="str" cm="1">
        <f t="array" ref="F26">IFERROR(INDEX(FORECAST!$D$3:$D$475, MATCH(1, INDEX((ISNUMBER(SEARCH($B26, FORECAST!$A$3:$A$475))) * (INT(FORECAST!$B$3:$B$475) &lt;= F$23) * (INT(FORECAST!$C$3:$C$475) &gt;= F$23), 0), 0)), "")</f>
        <v/>
      </c>
      <c r="G26" s="4" t="str" cm="1">
        <f t="array" ref="G26">IFERROR(INDEX(FORECAST!$D$3:$D$475, MATCH(1, INDEX((ISNUMBER(SEARCH($B26, FORECAST!$A$3:$A$475))) * (INT(FORECAST!$B$3:$B$475) &lt;= G$23) * (INT(FORECAST!$C$3:$C$475) &gt;= G$23), 0), 0)), "")</f>
        <v/>
      </c>
      <c r="H26" s="4" t="str" cm="1">
        <f t="array" ref="H26">IFERROR(INDEX(FORECAST!$D$3:$D$475, MATCH(1, INDEX((ISNUMBER(SEARCH($B26, FORECAST!$A$3:$A$475))) * (INT(FORECAST!$B$3:$B$475) &lt;= H$23) * (INT(FORECAST!$C$3:$C$475) &gt;= H$23), 0), 0)), "")</f>
        <v/>
      </c>
      <c r="I26" s="4" t="str" cm="1">
        <f t="array" ref="I26">IFERROR(INDEX(FORECAST!$D$3:$D$475, MATCH(1, INDEX((ISNUMBER(SEARCH($B26, FORECAST!$A$3:$A$475))) * (INT(FORECAST!$B$3:$B$475) &lt;= I$23) * (INT(FORECAST!$C$3:$C$475) &gt;= I$23), 0), 0)), "")</f>
        <v/>
      </c>
      <c r="J26" s="4" t="str" cm="1">
        <f t="array" ref="J26">IFERROR(INDEX(FORECAST!$D$3:$D$475, MATCH(1, INDEX((ISNUMBER(SEARCH($B26, FORECAST!$A$3:$A$475))) * (INT(FORECAST!$B$3:$B$475) &lt;= J$23) * (INT(FORECAST!$C$3:$C$475) &gt;= J$23), 0), 0)), "")</f>
        <v/>
      </c>
      <c r="K26" s="4" t="str" cm="1">
        <f t="array" ref="K26">IFERROR(INDEX(FORECAST!$D$3:$D$475, MATCH(1, INDEX((ISNUMBER(SEARCH($B26, FORECAST!$A$3:$A$475))) * (INT(FORECAST!$B$3:$B$475) &lt;= K$23) * (INT(FORECAST!$C$3:$C$475) &gt;= K$23), 0), 0)), "")</f>
        <v/>
      </c>
      <c r="L26" s="4" t="str" cm="1">
        <f t="array" ref="L26">IFERROR(INDEX(FORECAST!$D$3:$D$475, MATCH(1, INDEX((ISNUMBER(SEARCH($B26, FORECAST!$A$3:$A$475))) * (INT(FORECAST!$B$3:$B$475) &lt;= L$23) * (INT(FORECAST!$C$3:$C$475) &gt;= L$23), 0), 0)), "")</f>
        <v/>
      </c>
      <c r="M26" s="4" t="str" cm="1">
        <f t="array" ref="M26">IFERROR(INDEX(FORECAST!$D$3:$D$475, MATCH(1, INDEX((ISNUMBER(SEARCH($B26, FORECAST!$A$3:$A$475))) * (INT(FORECAST!$B$3:$B$475) &lt;= M$23) * (INT(FORECAST!$C$3:$C$475) &gt;= M$23), 0), 0)), "")</f>
        <v/>
      </c>
      <c r="N26" s="4" t="str" cm="1">
        <f t="array" ref="N26">IFERROR(INDEX(FORECAST!$D$3:$D$475, MATCH(1, INDEX((ISNUMBER(SEARCH($B26, FORECAST!$A$3:$A$475))) * (INT(FORECAST!$B$3:$B$475) &lt;= N$23) * (INT(FORECAST!$C$3:$C$475) &gt;= N$23), 0), 0)), "")</f>
        <v/>
      </c>
      <c r="O26" s="4" t="str" cm="1">
        <f t="array" ref="O26">IFERROR(INDEX(FORECAST!$D$3:$D$475, MATCH(1, INDEX((ISNUMBER(SEARCH($B26, FORECAST!$A$3:$A$475))) * (INT(FORECAST!$B$3:$B$475) &lt;= O$23) * (INT(FORECAST!$C$3:$C$475) &gt;= O$23), 0), 0)), "")</f>
        <v/>
      </c>
      <c r="P26" s="4" t="str" cm="1">
        <f t="array" ref="P26">IFERROR(INDEX(FORECAST!$D$3:$D$475, MATCH(1, INDEX((ISNUMBER(SEARCH($B26, FORECAST!$A$3:$A$475))) * (INT(FORECAST!$B$3:$B$475) &lt;= P$23) * (INT(FORECAST!$C$3:$C$475) &gt;= P$23), 0), 0)), "")</f>
        <v/>
      </c>
      <c r="Q26" s="4" t="str" cm="1">
        <f t="array" ref="Q26">IFERROR(INDEX(FORECAST!$D$3:$D$475, MATCH(1, INDEX((ISNUMBER(SEARCH($B26, FORECAST!$A$3:$A$475))) * (INT(FORECAST!$B$3:$B$475) &lt;= Q$23) * (INT(FORECAST!$C$3:$C$475) &gt;= Q$23), 0), 0)), "")</f>
        <v/>
      </c>
      <c r="R26" s="4" t="str" cm="1">
        <f t="array" ref="R26">IFERROR(INDEX(FORECAST!$D$3:$D$475, MATCH(1, INDEX((ISNUMBER(SEARCH($B26, FORECAST!$A$3:$A$475))) * (INT(FORECAST!$B$3:$B$475) &lt;= R$23) * (INT(FORECAST!$C$3:$C$475) &gt;= R$23), 0), 0)), "")</f>
        <v/>
      </c>
      <c r="S26" s="4" t="str" cm="1">
        <f t="array" ref="S26">IFERROR(INDEX(FORECAST!$D$3:$D$475, MATCH(1, INDEX((ISNUMBER(SEARCH($B26, FORECAST!$A$3:$A$475))) * (INT(FORECAST!$B$3:$B$475) &lt;= S$23) * (INT(FORECAST!$C$3:$C$475) &gt;= S$23), 0), 0)), "")</f>
        <v/>
      </c>
      <c r="T26" s="4" t="str" cm="1">
        <f t="array" ref="T26">IFERROR(INDEX(FORECAST!$D$3:$D$475, MATCH(1, INDEX((ISNUMBER(SEARCH($B26, FORECAST!$A$3:$A$475))) * (INT(FORECAST!$B$3:$B$475) &lt;= T$23) * (INT(FORECAST!$C$3:$C$475) &gt;= T$23), 0), 0)), "")</f>
        <v/>
      </c>
      <c r="U26" s="4" t="str" cm="1">
        <f t="array" ref="U26">IFERROR(INDEX(FORECAST!$D$3:$D$475, MATCH(1, INDEX((ISNUMBER(SEARCH($B26, FORECAST!$A$3:$A$475))) * (INT(FORECAST!$B$3:$B$475) &lt;= U$23) * (INT(FORECAST!$C$3:$C$475) &gt;= U$23), 0), 0)), "")</f>
        <v/>
      </c>
      <c r="V26" s="4" t="str" cm="1">
        <f t="array" ref="V26">IFERROR(INDEX(FORECAST!$D$3:$D$475, MATCH(1, INDEX((ISNUMBER(SEARCH($B26, FORECAST!$A$3:$A$475))) * (INT(FORECAST!$B$3:$B$475) &lt;= V$23) * (INT(FORECAST!$C$3:$C$475) &gt;= V$23), 0), 0)), "")</f>
        <v/>
      </c>
      <c r="W26" s="4" t="str" cm="1">
        <f t="array" ref="W26">IFERROR(INDEX(FORECAST!$D$3:$D$475, MATCH(1, INDEX((ISNUMBER(SEARCH($B26, FORECAST!$A$3:$A$475))) * (INT(FORECAST!$B$3:$B$475) &lt;= W$23) * (INT(FORECAST!$C$3:$C$475) &gt;= W$23), 0), 0)), "")</f>
        <v/>
      </c>
      <c r="X26" s="4" t="str" cm="1">
        <f t="array" ref="X26">IFERROR(INDEX(FORECAST!$D$3:$D$475, MATCH(1, INDEX((ISNUMBER(SEARCH($B26, FORECAST!$A$3:$A$475))) * (INT(FORECAST!$B$3:$B$475) &lt;= X$23) * (INT(FORECAST!$C$3:$C$475) &gt;= X$23), 0), 0)), "")</f>
        <v/>
      </c>
      <c r="Y26" s="4" t="str" cm="1">
        <f t="array" ref="Y26">IFERROR(INDEX(FORECAST!$D$3:$D$475, MATCH(1, INDEX((ISNUMBER(SEARCH($B26, FORECAST!$A$3:$A$475))) * (INT(FORECAST!$B$3:$B$475) &lt;= Y$23) * (INT(FORECAST!$C$3:$C$475) &gt;= Y$23), 0), 0)), "")</f>
        <v/>
      </c>
      <c r="Z26" s="4" t="str" cm="1">
        <f t="array" ref="Z26">IFERROR(INDEX(FORECAST!$D$3:$D$475, MATCH(1, INDEX((ISNUMBER(SEARCH($B26, FORECAST!$A$3:$A$475))) * (INT(FORECAST!$B$3:$B$475) &lt;= Z$23) * (INT(FORECAST!$C$3:$C$475) &gt;= Z$23), 0), 0)), "")</f>
        <v/>
      </c>
      <c r="AA26" s="4" t="str" cm="1">
        <f t="array" ref="AA26">IFERROR(INDEX(FORECAST!$D$3:$D$475, MATCH(1, INDEX((ISNUMBER(SEARCH($B26, FORECAST!$A$3:$A$475))) * (INT(FORECAST!$B$3:$B$475) &lt;= AA$23) * (INT(FORECAST!$C$3:$C$475) &gt;= AA$23), 0), 0)), "")</f>
        <v/>
      </c>
      <c r="AB26" s="4" t="str" cm="1">
        <f t="array" ref="AB26">IFERROR(INDEX(FORECAST!$D$3:$D$475, MATCH(1, INDEX((ISNUMBER(SEARCH($B26, FORECAST!$A$3:$A$475))) * (INT(FORECAST!$B$3:$B$475) &lt;= AB$23) * (INT(FORECAST!$C$3:$C$475) &gt;= AB$23), 0), 0)), "")</f>
        <v/>
      </c>
      <c r="AC26" s="4" t="str" cm="1">
        <f t="array" ref="AC26">IFERROR(INDEX(FORECAST!$D$3:$D$475, MATCH(1, INDEX((ISNUMBER(SEARCH($B26, FORECAST!$A$3:$A$475))) * (INT(FORECAST!$B$3:$B$475) &lt;= AC$23) * (INT(FORECAST!$C$3:$C$475) &gt;= AC$23), 0), 0)), "")</f>
        <v/>
      </c>
      <c r="AD26" s="4" t="str" cm="1">
        <f t="array" ref="AD26">IFERROR(INDEX(FORECAST!$D$3:$D$475, MATCH(1, INDEX((ISNUMBER(SEARCH($B26, FORECAST!$A$3:$A$475))) * (INT(FORECAST!$B$3:$B$475) &lt;= AD$23) * (INT(FORECAST!$C$3:$C$475) &gt;= AD$23), 0), 0)), "")</f>
        <v/>
      </c>
      <c r="AF26" s="10"/>
      <c r="AG26" s="9"/>
      <c r="AH26" s="9"/>
      <c r="AI26" s="2"/>
      <c r="AJ26" s="45">
        <f t="shared" si="1"/>
        <v>0</v>
      </c>
      <c r="AL26" s="22" t="s">
        <v>520</v>
      </c>
    </row>
    <row r="27" spans="1:41" x14ac:dyDescent="0.25">
      <c r="A27" s="71"/>
      <c r="B27" s="26" t="s">
        <v>521</v>
      </c>
      <c r="C27" s="4" t="str" cm="1">
        <f t="array" ref="C27">IFERROR(INDEX(FORECAST!$D$3:$D$475, MATCH(1, INDEX((ISNUMBER(SEARCH($B27, FORECAST!$A$3:$A$475))) * (INT(FORECAST!$B$3:$B$475) &lt;= C$23) * (INT(FORECAST!$C$3:$C$475) &gt;= C$23), 0), 0)), "")</f>
        <v/>
      </c>
      <c r="D27" s="4" t="str" cm="1">
        <f t="array" ref="D27">IFERROR(INDEX(FORECAST!$D$3:$D$475, MATCH(1, INDEX((ISNUMBER(SEARCH($B27, FORECAST!$A$3:$A$475))) * (INT(FORECAST!$B$3:$B$475) &lt;= D$23) * (INT(FORECAST!$C$3:$C$475) &gt;= D$23), 0), 0)), "")</f>
        <v/>
      </c>
      <c r="E27" s="4" t="str" cm="1">
        <f t="array" ref="E27">IFERROR(INDEX(FORECAST!$D$3:$D$475, MATCH(1, INDEX((ISNUMBER(SEARCH($B27, FORECAST!$A$3:$A$475))) * (INT(FORECAST!$B$3:$B$475) &lt;= E$23) * (INT(FORECAST!$C$3:$C$475) &gt;= E$23), 0), 0)), "")</f>
        <v/>
      </c>
      <c r="F27" s="4" t="str" cm="1">
        <f t="array" ref="F27">IFERROR(INDEX(FORECAST!$D$3:$D$475, MATCH(1, INDEX((ISNUMBER(SEARCH($B27, FORECAST!$A$3:$A$475))) * (INT(FORECAST!$B$3:$B$475) &lt;= F$23) * (INT(FORECAST!$C$3:$C$475) &gt;= F$23), 0), 0)), "")</f>
        <v/>
      </c>
      <c r="G27" s="4" t="str" cm="1">
        <f t="array" ref="G27">IFERROR(INDEX(FORECAST!$D$3:$D$475, MATCH(1, INDEX((ISNUMBER(SEARCH($B27, FORECAST!$A$3:$A$475))) * (INT(FORECAST!$B$3:$B$475) &lt;= G$23) * (INT(FORECAST!$C$3:$C$475) &gt;= G$23), 0), 0)), "")</f>
        <v/>
      </c>
      <c r="H27" s="4" t="str" cm="1">
        <f t="array" ref="H27">IFERROR(INDEX(FORECAST!$D$3:$D$475, MATCH(1, INDEX((ISNUMBER(SEARCH($B27, FORECAST!$A$3:$A$475))) * (INT(FORECAST!$B$3:$B$475) &lt;= H$23) * (INT(FORECAST!$C$3:$C$475) &gt;= H$23), 0), 0)), "")</f>
        <v/>
      </c>
      <c r="I27" s="4" t="str" cm="1">
        <f t="array" ref="I27">IFERROR(INDEX(FORECAST!$D$3:$D$475, MATCH(1, INDEX((ISNUMBER(SEARCH($B27, FORECAST!$A$3:$A$475))) * (INT(FORECAST!$B$3:$B$475) &lt;= I$23) * (INT(FORECAST!$C$3:$C$475) &gt;= I$23), 0), 0)), "")</f>
        <v/>
      </c>
      <c r="J27" s="4" t="str" cm="1">
        <f t="array" ref="J27">IFERROR(INDEX(FORECAST!$D$3:$D$475, MATCH(1, INDEX((ISNUMBER(SEARCH($B27, FORECAST!$A$3:$A$475))) * (INT(FORECAST!$B$3:$B$475) &lt;= J$23) * (INT(FORECAST!$C$3:$C$475) &gt;= J$23), 0), 0)), "")</f>
        <v/>
      </c>
      <c r="K27" s="4" t="str" cm="1">
        <f t="array" ref="K27">IFERROR(INDEX(FORECAST!$D$3:$D$475, MATCH(1, INDEX((ISNUMBER(SEARCH($B27, FORECAST!$A$3:$A$475))) * (INT(FORECAST!$B$3:$B$475) &lt;= K$23) * (INT(FORECAST!$C$3:$C$475) &gt;= K$23), 0), 0)), "")</f>
        <v/>
      </c>
      <c r="L27" s="4" t="str" cm="1">
        <f t="array" ref="L27">IFERROR(INDEX(FORECAST!$D$3:$D$475, MATCH(1, INDEX((ISNUMBER(SEARCH($B27, FORECAST!$A$3:$A$475))) * (INT(FORECAST!$B$3:$B$475) &lt;= L$23) * (INT(FORECAST!$C$3:$C$475) &gt;= L$23), 0), 0)), "")</f>
        <v/>
      </c>
      <c r="M27" s="4" t="str" cm="1">
        <f t="array" ref="M27">IFERROR(INDEX(FORECAST!$D$3:$D$475, MATCH(1, INDEX((ISNUMBER(SEARCH($B27, FORECAST!$A$3:$A$475))) * (INT(FORECAST!$B$3:$B$475) &lt;= M$23) * (INT(FORECAST!$C$3:$C$475) &gt;= M$23), 0), 0)), "")</f>
        <v/>
      </c>
      <c r="N27" s="4" t="str" cm="1">
        <f t="array" ref="N27">IFERROR(INDEX(FORECAST!$D$3:$D$475, MATCH(1, INDEX((ISNUMBER(SEARCH($B27, FORECAST!$A$3:$A$475))) * (INT(FORECAST!$B$3:$B$475) &lt;= N$23) * (INT(FORECAST!$C$3:$C$475) &gt;= N$23), 0), 0)), "")</f>
        <v/>
      </c>
      <c r="O27" s="4" t="str" cm="1">
        <f t="array" ref="O27">IFERROR(INDEX(FORECAST!$D$3:$D$475, MATCH(1, INDEX((ISNUMBER(SEARCH($B27, FORECAST!$A$3:$A$475))) * (INT(FORECAST!$B$3:$B$475) &lt;= O$23) * (INT(FORECAST!$C$3:$C$475) &gt;= O$23), 0), 0)), "")</f>
        <v/>
      </c>
      <c r="P27" s="4" t="str" cm="1">
        <f t="array" ref="P27">IFERROR(INDEX(FORECAST!$D$3:$D$475, MATCH(1, INDEX((ISNUMBER(SEARCH($B27, FORECAST!$A$3:$A$475))) * (INT(FORECAST!$B$3:$B$475) &lt;= P$23) * (INT(FORECAST!$C$3:$C$475) &gt;= P$23), 0), 0)), "")</f>
        <v/>
      </c>
      <c r="Q27" s="4" t="str" cm="1">
        <f t="array" ref="Q27">IFERROR(INDEX(FORECAST!$D$3:$D$475, MATCH(1, INDEX((ISNUMBER(SEARCH($B27, FORECAST!$A$3:$A$475))) * (INT(FORECAST!$B$3:$B$475) &lt;= Q$23) * (INT(FORECAST!$C$3:$C$475) &gt;= Q$23), 0), 0)), "")</f>
        <v/>
      </c>
      <c r="R27" s="4" t="str" cm="1">
        <f t="array" ref="R27">IFERROR(INDEX(FORECAST!$D$3:$D$475, MATCH(1, INDEX((ISNUMBER(SEARCH($B27, FORECAST!$A$3:$A$475))) * (INT(FORECAST!$B$3:$B$475) &lt;= R$23) * (INT(FORECAST!$C$3:$C$475) &gt;= R$23), 0), 0)), "")</f>
        <v/>
      </c>
      <c r="S27" s="4" t="str" cm="1">
        <f t="array" ref="S27">IFERROR(INDEX(FORECAST!$D$3:$D$475, MATCH(1, INDEX((ISNUMBER(SEARCH($B27, FORECAST!$A$3:$A$475))) * (INT(FORECAST!$B$3:$B$475) &lt;= S$23) * (INT(FORECAST!$C$3:$C$475) &gt;= S$23), 0), 0)), "")</f>
        <v/>
      </c>
      <c r="T27" s="4" t="str" cm="1">
        <f t="array" ref="T27">IFERROR(INDEX(FORECAST!$D$3:$D$475, MATCH(1, INDEX((ISNUMBER(SEARCH($B27, FORECAST!$A$3:$A$475))) * (INT(FORECAST!$B$3:$B$475) &lt;= T$23) * (INT(FORECAST!$C$3:$C$475) &gt;= T$23), 0), 0)), "")</f>
        <v/>
      </c>
      <c r="U27" s="4" t="str" cm="1">
        <f t="array" ref="U27">IFERROR(INDEX(FORECAST!$D$3:$D$475, MATCH(1, INDEX((ISNUMBER(SEARCH($B27, FORECAST!$A$3:$A$475))) * (INT(FORECAST!$B$3:$B$475) &lt;= U$23) * (INT(FORECAST!$C$3:$C$475) &gt;= U$23), 0), 0)), "")</f>
        <v/>
      </c>
      <c r="V27" s="4" t="str" cm="1">
        <f t="array" ref="V27">IFERROR(INDEX(FORECAST!$D$3:$D$475, MATCH(1, INDEX((ISNUMBER(SEARCH($B27, FORECAST!$A$3:$A$475))) * (INT(FORECAST!$B$3:$B$475) &lt;= V$23) * (INT(FORECAST!$C$3:$C$475) &gt;= V$23), 0), 0)), "")</f>
        <v/>
      </c>
      <c r="W27" s="4" t="str" cm="1">
        <f t="array" ref="W27">IFERROR(INDEX(FORECAST!$D$3:$D$475, MATCH(1, INDEX((ISNUMBER(SEARCH($B27, FORECAST!$A$3:$A$475))) * (INT(FORECAST!$B$3:$B$475) &lt;= W$23) * (INT(FORECAST!$C$3:$C$475) &gt;= W$23), 0), 0)), "")</f>
        <v/>
      </c>
      <c r="X27" s="4" t="str" cm="1">
        <f t="array" ref="X27">IFERROR(INDEX(FORECAST!$D$3:$D$475, MATCH(1, INDEX((ISNUMBER(SEARCH($B27, FORECAST!$A$3:$A$475))) * (INT(FORECAST!$B$3:$B$475) &lt;= X$23) * (INT(FORECAST!$C$3:$C$475) &gt;= X$23), 0), 0)), "")</f>
        <v/>
      </c>
      <c r="Y27" s="4" t="str" cm="1">
        <f t="array" ref="Y27">IFERROR(INDEX(FORECAST!$D$3:$D$475, MATCH(1, INDEX((ISNUMBER(SEARCH($B27, FORECAST!$A$3:$A$475))) * (INT(FORECAST!$B$3:$B$475) &lt;= Y$23) * (INT(FORECAST!$C$3:$C$475) &gt;= Y$23), 0), 0)), "")</f>
        <v>Garantizado</v>
      </c>
      <c r="Z27" s="4" t="str" cm="1">
        <f t="array" ref="Z27">IFERROR(INDEX(FORECAST!$D$3:$D$475, MATCH(1, INDEX((ISNUMBER(SEARCH($B27, FORECAST!$A$3:$A$475))) * (INT(FORECAST!$B$3:$B$475) &lt;= Z$23) * (INT(FORECAST!$C$3:$C$475) &gt;= Z$23), 0), 0)), "")</f>
        <v>Garantizado</v>
      </c>
      <c r="AA27" s="4" t="str" cm="1">
        <f t="array" ref="AA27">IFERROR(INDEX(FORECAST!$D$3:$D$475, MATCH(1, INDEX((ISNUMBER(SEARCH($B27, FORECAST!$A$3:$A$475))) * (INT(FORECAST!$B$3:$B$475) &lt;= AA$23) * (INT(FORECAST!$C$3:$C$475) &gt;= AA$23), 0), 0)), "")</f>
        <v/>
      </c>
      <c r="AB27" s="4" t="str" cm="1">
        <f t="array" ref="AB27">IFERROR(INDEX(FORECAST!$D$3:$D$475, MATCH(1, INDEX((ISNUMBER(SEARCH($B27, FORECAST!$A$3:$A$475))) * (INT(FORECAST!$B$3:$B$475) &lt;= AB$23) * (INT(FORECAST!$C$3:$C$475) &gt;= AB$23), 0), 0)), "")</f>
        <v>Garantizado</v>
      </c>
      <c r="AC27" s="4" t="str" cm="1">
        <f t="array" ref="AC27">IFERROR(INDEX(FORECAST!$D$3:$D$475, MATCH(1, INDEX((ISNUMBER(SEARCH($B27, FORECAST!$A$3:$A$475))) * (INT(FORECAST!$B$3:$B$475) &lt;= AC$23) * (INT(FORECAST!$C$3:$C$475) &gt;= AC$23), 0), 0)), "")</f>
        <v>Garantizado</v>
      </c>
      <c r="AD27" s="4" t="str" cm="1">
        <f t="array" ref="AD27">IFERROR(INDEX(FORECAST!$D$3:$D$475, MATCH(1, INDEX((ISNUMBER(SEARCH($B27, FORECAST!$A$3:$A$475))) * (INT(FORECAST!$B$3:$B$475) &lt;= AD$23) * (INT(FORECAST!$C$3:$C$475) &gt;= AD$23), 0), 0)), "")</f>
        <v>Garantizado</v>
      </c>
      <c r="AF27" s="10"/>
      <c r="AG27" s="9"/>
      <c r="AH27" s="9"/>
      <c r="AI27" s="2"/>
      <c r="AJ27" s="45">
        <f t="shared" si="1"/>
        <v>0.17857142857142858</v>
      </c>
      <c r="AL27" s="45">
        <f>COUNTIF(C24:AD30,"Garantizado")/COUNTA(C24:AD30)</f>
        <v>0.12244897959183673</v>
      </c>
    </row>
    <row r="28" spans="1:41" x14ac:dyDescent="0.25">
      <c r="A28" s="71"/>
      <c r="B28" s="26" t="s">
        <v>522</v>
      </c>
      <c r="C28" s="4" t="str" cm="1">
        <f t="array" ref="C28">IFERROR(INDEX(FORECAST!$D$3:$D$475, MATCH(1, INDEX((ISNUMBER(SEARCH($B28, FORECAST!$A$3:$A$475))) * (INT(FORECAST!$B$3:$B$475) &lt;= C$23) * (INT(FORECAST!$C$3:$C$475) &gt;= C$23), 0), 0)), "")</f>
        <v/>
      </c>
      <c r="D28" s="4" t="str" cm="1">
        <f t="array" ref="D28">IFERROR(INDEX(FORECAST!$D$3:$D$475, MATCH(1, INDEX((ISNUMBER(SEARCH($B28, FORECAST!$A$3:$A$475))) * (INT(FORECAST!$B$3:$B$475) &lt;= D$23) * (INT(FORECAST!$C$3:$C$475) &gt;= D$23), 0), 0)), "")</f>
        <v/>
      </c>
      <c r="E28" s="4" t="str" cm="1">
        <f t="array" ref="E28">IFERROR(INDEX(FORECAST!$D$3:$D$475, MATCH(1, INDEX((ISNUMBER(SEARCH($B28, FORECAST!$A$3:$A$475))) * (INT(FORECAST!$B$3:$B$475) &lt;= E$23) * (INT(FORECAST!$C$3:$C$475) &gt;= E$23), 0), 0)), "")</f>
        <v/>
      </c>
      <c r="F28" s="4" t="str" cm="1">
        <f t="array" ref="F28">IFERROR(INDEX(FORECAST!$D$3:$D$475, MATCH(1, INDEX((ISNUMBER(SEARCH($B28, FORECAST!$A$3:$A$475))) * (INT(FORECAST!$B$3:$B$475) &lt;= F$23) * (INT(FORECAST!$C$3:$C$475) &gt;= F$23), 0), 0)), "")</f>
        <v/>
      </c>
      <c r="G28" s="4" t="str" cm="1">
        <f t="array" ref="G28">IFERROR(INDEX(FORECAST!$D$3:$D$475, MATCH(1, INDEX((ISNUMBER(SEARCH($B28, FORECAST!$A$3:$A$475))) * (INT(FORECAST!$B$3:$B$475) &lt;= G$23) * (INT(FORECAST!$C$3:$C$475) &gt;= G$23), 0), 0)), "")</f>
        <v/>
      </c>
      <c r="H28" s="4" t="str" cm="1">
        <f t="array" ref="H28">IFERROR(INDEX(FORECAST!$D$3:$D$475, MATCH(1, INDEX((ISNUMBER(SEARCH($B28, FORECAST!$A$3:$A$475))) * (INT(FORECAST!$B$3:$B$475) &lt;= H$23) * (INT(FORECAST!$C$3:$C$475) &gt;= H$23), 0), 0)), "")</f>
        <v/>
      </c>
      <c r="I28" s="4" t="str" cm="1">
        <f t="array" ref="I28">IFERROR(INDEX(FORECAST!$D$3:$D$475, MATCH(1, INDEX((ISNUMBER(SEARCH($B28, FORECAST!$A$3:$A$475))) * (INT(FORECAST!$B$3:$B$475) &lt;= I$23) * (INT(FORECAST!$C$3:$C$475) &gt;= I$23), 0), 0)), "")</f>
        <v/>
      </c>
      <c r="J28" s="4" t="str" cm="1">
        <f t="array" ref="J28">IFERROR(INDEX(FORECAST!$D$3:$D$475, MATCH(1, INDEX((ISNUMBER(SEARCH($B28, FORECAST!$A$3:$A$475))) * (INT(FORECAST!$B$3:$B$475) &lt;= J$23) * (INT(FORECAST!$C$3:$C$475) &gt;= J$23), 0), 0)), "")</f>
        <v/>
      </c>
      <c r="K28" s="4" t="str" cm="1">
        <f t="array" ref="K28">IFERROR(INDEX(FORECAST!$D$3:$D$475, MATCH(1, INDEX((ISNUMBER(SEARCH($B28, FORECAST!$A$3:$A$475))) * (INT(FORECAST!$B$3:$B$475) &lt;= K$23) * (INT(FORECAST!$C$3:$C$475) &gt;= K$23), 0), 0)), "")</f>
        <v/>
      </c>
      <c r="L28" s="4" t="str" cm="1">
        <f t="array" ref="L28">IFERROR(INDEX(FORECAST!$D$3:$D$475, MATCH(1, INDEX((ISNUMBER(SEARCH($B28, FORECAST!$A$3:$A$475))) * (INT(FORECAST!$B$3:$B$475) &lt;= L$23) * (INT(FORECAST!$C$3:$C$475) &gt;= L$23), 0), 0)), "")</f>
        <v/>
      </c>
      <c r="M28" s="4" t="str" cm="1">
        <f t="array" ref="M28">IFERROR(INDEX(FORECAST!$D$3:$D$475, MATCH(1, INDEX((ISNUMBER(SEARCH($B28, FORECAST!$A$3:$A$475))) * (INT(FORECAST!$B$3:$B$475) &lt;= M$23) * (INT(FORECAST!$C$3:$C$475) &gt;= M$23), 0), 0)), "")</f>
        <v/>
      </c>
      <c r="N28" s="4" t="str" cm="1">
        <f t="array" ref="N28">IFERROR(INDEX(FORECAST!$D$3:$D$475, MATCH(1, INDEX((ISNUMBER(SEARCH($B28, FORECAST!$A$3:$A$475))) * (INT(FORECAST!$B$3:$B$475) &lt;= N$23) * (INT(FORECAST!$C$3:$C$475) &gt;= N$23), 0), 0)), "")</f>
        <v/>
      </c>
      <c r="O28" s="4" t="str" cm="1">
        <f t="array" ref="O28">IFERROR(INDEX(FORECAST!$D$3:$D$475, MATCH(1, INDEX((ISNUMBER(SEARCH($B28, FORECAST!$A$3:$A$475))) * (INT(FORECAST!$B$3:$B$475) &lt;= O$23) * (INT(FORECAST!$C$3:$C$475) &gt;= O$23), 0), 0)), "")</f>
        <v/>
      </c>
      <c r="P28" s="4" t="str" cm="1">
        <f t="array" ref="P28">IFERROR(INDEX(FORECAST!$D$3:$D$475, MATCH(1, INDEX((ISNUMBER(SEARCH($B28, FORECAST!$A$3:$A$475))) * (INT(FORECAST!$B$3:$B$475) &lt;= P$23) * (INT(FORECAST!$C$3:$C$475) &gt;= P$23), 0), 0)), "")</f>
        <v/>
      </c>
      <c r="Q28" s="4" t="str" cm="1">
        <f t="array" ref="Q28">IFERROR(INDEX(FORECAST!$D$3:$D$475, MATCH(1, INDEX((ISNUMBER(SEARCH($B28, FORECAST!$A$3:$A$475))) * (INT(FORECAST!$B$3:$B$475) &lt;= Q$23) * (INT(FORECAST!$C$3:$C$475) &gt;= Q$23), 0), 0)), "")</f>
        <v/>
      </c>
      <c r="R28" s="4" t="str" cm="1">
        <f t="array" ref="R28">IFERROR(INDEX(FORECAST!$D$3:$D$475, MATCH(1, INDEX((ISNUMBER(SEARCH($B28, FORECAST!$A$3:$A$475))) * (INT(FORECAST!$B$3:$B$475) &lt;= R$23) * (INT(FORECAST!$C$3:$C$475) &gt;= R$23), 0), 0)), "")</f>
        <v/>
      </c>
      <c r="S28" s="4" t="str" cm="1">
        <f t="array" ref="S28">IFERROR(INDEX(FORECAST!$D$3:$D$475, MATCH(1, INDEX((ISNUMBER(SEARCH($B28, FORECAST!$A$3:$A$475))) * (INT(FORECAST!$B$3:$B$475) &lt;= S$23) * (INT(FORECAST!$C$3:$C$475) &gt;= S$23), 0), 0)), "")</f>
        <v/>
      </c>
      <c r="T28" s="4" t="str" cm="1">
        <f t="array" ref="T28">IFERROR(INDEX(FORECAST!$D$3:$D$475, MATCH(1, INDEX((ISNUMBER(SEARCH($B28, FORECAST!$A$3:$A$475))) * (INT(FORECAST!$B$3:$B$475) &lt;= T$23) * (INT(FORECAST!$C$3:$C$475) &gt;= T$23), 0), 0)), "")</f>
        <v/>
      </c>
      <c r="U28" s="4" t="str" cm="1">
        <f t="array" ref="U28">IFERROR(INDEX(FORECAST!$D$3:$D$475, MATCH(1, INDEX((ISNUMBER(SEARCH($B28, FORECAST!$A$3:$A$475))) * (INT(FORECAST!$B$3:$B$475) &lt;= U$23) * (INT(FORECAST!$C$3:$C$475) &gt;= U$23), 0), 0)), "")</f>
        <v/>
      </c>
      <c r="V28" s="4" t="str" cm="1">
        <f t="array" ref="V28">IFERROR(INDEX(FORECAST!$D$3:$D$475, MATCH(1, INDEX((ISNUMBER(SEARCH($B28, FORECAST!$A$3:$A$475))) * (INT(FORECAST!$B$3:$B$475) &lt;= V$23) * (INT(FORECAST!$C$3:$C$475) &gt;= V$23), 0), 0)), "")</f>
        <v/>
      </c>
      <c r="W28" s="4" t="str" cm="1">
        <f t="array" ref="W28">IFERROR(INDEX(FORECAST!$D$3:$D$475, MATCH(1, INDEX((ISNUMBER(SEARCH($B28, FORECAST!$A$3:$A$475))) * (INT(FORECAST!$B$3:$B$475) &lt;= W$23) * (INT(FORECAST!$C$3:$C$475) &gt;= W$23), 0), 0)), "")</f>
        <v/>
      </c>
      <c r="X28" s="4" t="str" cm="1">
        <f t="array" ref="X28">IFERROR(INDEX(FORECAST!$D$3:$D$475, MATCH(1, INDEX((ISNUMBER(SEARCH($B28, FORECAST!$A$3:$A$475))) * (INT(FORECAST!$B$3:$B$475) &lt;= X$23) * (INT(FORECAST!$C$3:$C$475) &gt;= X$23), 0), 0)), "")</f>
        <v/>
      </c>
      <c r="Y28" s="4" t="str" cm="1">
        <f t="array" ref="Y28">IFERROR(INDEX(FORECAST!$D$3:$D$475, MATCH(1, INDEX((ISNUMBER(SEARCH($B28, FORECAST!$A$3:$A$475))) * (INT(FORECAST!$B$3:$B$475) &lt;= Y$23) * (INT(FORECAST!$C$3:$C$475) &gt;= Y$23), 0), 0)), "")</f>
        <v/>
      </c>
      <c r="Z28" s="4" t="str" cm="1">
        <f t="array" ref="Z28">IFERROR(INDEX(FORECAST!$D$3:$D$475, MATCH(1, INDEX((ISNUMBER(SEARCH($B28, FORECAST!$A$3:$A$475))) * (INT(FORECAST!$B$3:$B$475) &lt;= Z$23) * (INT(FORECAST!$C$3:$C$475) &gt;= Z$23), 0), 0)), "")</f>
        <v/>
      </c>
      <c r="AA28" s="4" t="str" cm="1">
        <f t="array" ref="AA28">IFERROR(INDEX(FORECAST!$D$3:$D$475, MATCH(1, INDEX((ISNUMBER(SEARCH($B28, FORECAST!$A$3:$A$475))) * (INT(FORECAST!$B$3:$B$475) &lt;= AA$23) * (INT(FORECAST!$C$3:$C$475) &gt;= AA$23), 0), 0)), "")</f>
        <v/>
      </c>
      <c r="AB28" s="4" t="str" cm="1">
        <f t="array" ref="AB28">IFERROR(INDEX(FORECAST!$D$3:$D$475, MATCH(1, INDEX((ISNUMBER(SEARCH($B28, FORECAST!$A$3:$A$475))) * (INT(FORECAST!$B$3:$B$475) &lt;= AB$23) * (INT(FORECAST!$C$3:$C$475) &gt;= AB$23), 0), 0)), "")</f>
        <v/>
      </c>
      <c r="AC28" s="4" t="str" cm="1">
        <f t="array" ref="AC28">IFERROR(INDEX(FORECAST!$D$3:$D$475, MATCH(1, INDEX((ISNUMBER(SEARCH($B28, FORECAST!$A$3:$A$475))) * (INT(FORECAST!$B$3:$B$475) &lt;= AC$23) * (INT(FORECAST!$C$3:$C$475) &gt;= AC$23), 0), 0)), "")</f>
        <v>Garantizado</v>
      </c>
      <c r="AD28" s="4" t="str" cm="1">
        <f t="array" ref="AD28">IFERROR(INDEX(FORECAST!$D$3:$D$475, MATCH(1, INDEX((ISNUMBER(SEARCH($B28, FORECAST!$A$3:$A$475))) * (INT(FORECAST!$B$3:$B$475) &lt;= AD$23) * (INT(FORECAST!$C$3:$C$475) &gt;= AD$23), 0), 0)), "")</f>
        <v>Garantizado</v>
      </c>
      <c r="AF28" s="10"/>
      <c r="AG28" s="9"/>
      <c r="AH28" s="9"/>
      <c r="AI28" s="2"/>
      <c r="AJ28" s="45">
        <f t="shared" si="1"/>
        <v>7.1428571428571425E-2</v>
      </c>
    </row>
    <row r="29" spans="1:41" x14ac:dyDescent="0.25">
      <c r="A29" s="71"/>
      <c r="B29" s="26" t="s">
        <v>523</v>
      </c>
      <c r="C29" s="4" t="str" cm="1">
        <f t="array" ref="C29">IFERROR(INDEX(FORECAST!$D$3:$D$475, MATCH(1, INDEX((ISNUMBER(SEARCH($B29, FORECAST!$A$3:$A$475))) * (INT(FORECAST!$B$3:$B$475) &lt;= C$23) * (INT(FORECAST!$C$3:$C$475) &gt;= C$23), 0), 0)), "")</f>
        <v/>
      </c>
      <c r="D29" s="4" t="str" cm="1">
        <f t="array" ref="D29">IFERROR(INDEX(FORECAST!$D$3:$D$475, MATCH(1, INDEX((ISNUMBER(SEARCH($B29, FORECAST!$A$3:$A$475))) * (INT(FORECAST!$B$3:$B$475) &lt;= D$23) * (INT(FORECAST!$C$3:$C$475) &gt;= D$23), 0), 0)), "")</f>
        <v/>
      </c>
      <c r="E29" s="4" t="str" cm="1">
        <f t="array" ref="E29">IFERROR(INDEX(FORECAST!$D$3:$D$475, MATCH(1, INDEX((ISNUMBER(SEARCH($B29, FORECAST!$A$3:$A$475))) * (INT(FORECAST!$B$3:$B$475) &lt;= E$23) * (INT(FORECAST!$C$3:$C$475) &gt;= E$23), 0), 0)), "")</f>
        <v/>
      </c>
      <c r="F29" s="4" t="str" cm="1">
        <f t="array" ref="F29">IFERROR(INDEX(FORECAST!$D$3:$D$475, MATCH(1, INDEX((ISNUMBER(SEARCH($B29, FORECAST!$A$3:$A$475))) * (INT(FORECAST!$B$3:$B$475) &lt;= F$23) * (INT(FORECAST!$C$3:$C$475) &gt;= F$23), 0), 0)), "")</f>
        <v/>
      </c>
      <c r="G29" s="4" t="str" cm="1">
        <f t="array" ref="G29">IFERROR(INDEX(FORECAST!$D$3:$D$475, MATCH(1, INDEX((ISNUMBER(SEARCH($B29, FORECAST!$A$3:$A$475))) * (INT(FORECAST!$B$3:$B$475) &lt;= G$23) * (INT(FORECAST!$C$3:$C$475) &gt;= G$23), 0), 0)), "")</f>
        <v/>
      </c>
      <c r="H29" s="4" t="str" cm="1">
        <f t="array" ref="H29">IFERROR(INDEX(FORECAST!$D$3:$D$475, MATCH(1, INDEX((ISNUMBER(SEARCH($B29, FORECAST!$A$3:$A$475))) * (INT(FORECAST!$B$3:$B$475) &lt;= H$23) * (INT(FORECAST!$C$3:$C$475) &gt;= H$23), 0), 0)), "")</f>
        <v>Garantizado</v>
      </c>
      <c r="I29" s="4" t="str" cm="1">
        <f t="array" ref="I29">IFERROR(INDEX(FORECAST!$D$3:$D$475, MATCH(1, INDEX((ISNUMBER(SEARCH($B29, FORECAST!$A$3:$A$475))) * (INT(FORECAST!$B$3:$B$475) &lt;= I$23) * (INT(FORECAST!$C$3:$C$475) &gt;= I$23), 0), 0)), "")</f>
        <v>Garantizado</v>
      </c>
      <c r="J29" s="4" t="str" cm="1">
        <f t="array" ref="J29">IFERROR(INDEX(FORECAST!$D$3:$D$475, MATCH(1, INDEX((ISNUMBER(SEARCH($B29, FORECAST!$A$3:$A$475))) * (INT(FORECAST!$B$3:$B$475) &lt;= J$23) * (INT(FORECAST!$C$3:$C$475) &gt;= J$23), 0), 0)), "")</f>
        <v/>
      </c>
      <c r="K29" s="4" t="str" cm="1">
        <f t="array" ref="K29">IFERROR(INDEX(FORECAST!$D$3:$D$475, MATCH(1, INDEX((ISNUMBER(SEARCH($B29, FORECAST!$A$3:$A$475))) * (INT(FORECAST!$B$3:$B$475) &lt;= K$23) * (INT(FORECAST!$C$3:$C$475) &gt;= K$23), 0), 0)), "")</f>
        <v/>
      </c>
      <c r="L29" s="4" t="str" cm="1">
        <f t="array" ref="L29">IFERROR(INDEX(FORECAST!$D$3:$D$475, MATCH(1, INDEX((ISNUMBER(SEARCH($B29, FORECAST!$A$3:$A$475))) * (INT(FORECAST!$B$3:$B$475) &lt;= L$23) * (INT(FORECAST!$C$3:$C$475) &gt;= L$23), 0), 0)), "")</f>
        <v/>
      </c>
      <c r="M29" s="4" t="str" cm="1">
        <f t="array" ref="M29">IFERROR(INDEX(FORECAST!$D$3:$D$475, MATCH(1, INDEX((ISNUMBER(SEARCH($B29, FORECAST!$A$3:$A$475))) * (INT(FORECAST!$B$3:$B$475) &lt;= M$23) * (INT(FORECAST!$C$3:$C$475) &gt;= M$23), 0), 0)), "")</f>
        <v/>
      </c>
      <c r="N29" s="4" t="str" cm="1">
        <f t="array" ref="N29">IFERROR(INDEX(FORECAST!$D$3:$D$475, MATCH(1, INDEX((ISNUMBER(SEARCH($B29, FORECAST!$A$3:$A$475))) * (INT(FORECAST!$B$3:$B$475) &lt;= N$23) * (INT(FORECAST!$C$3:$C$475) &gt;= N$23), 0), 0)), "")</f>
        <v/>
      </c>
      <c r="O29" s="4" t="str" cm="1">
        <f t="array" ref="O29">IFERROR(INDEX(FORECAST!$D$3:$D$475, MATCH(1, INDEX((ISNUMBER(SEARCH($B29, FORECAST!$A$3:$A$475))) * (INT(FORECAST!$B$3:$B$475) &lt;= O$23) * (INT(FORECAST!$C$3:$C$475) &gt;= O$23), 0), 0)), "")</f>
        <v>Garantizado</v>
      </c>
      <c r="P29" s="4" t="str" cm="1">
        <f t="array" ref="P29">IFERROR(INDEX(FORECAST!$D$3:$D$475, MATCH(1, INDEX((ISNUMBER(SEARCH($B29, FORECAST!$A$3:$A$475))) * (INT(FORECAST!$B$3:$B$475) &lt;= P$23) * (INT(FORECAST!$C$3:$C$475) &gt;= P$23), 0), 0)), "")</f>
        <v>Garantizado</v>
      </c>
      <c r="Q29" s="4" t="str" cm="1">
        <f t="array" ref="Q29">IFERROR(INDEX(FORECAST!$D$3:$D$475, MATCH(1, INDEX((ISNUMBER(SEARCH($B29, FORECAST!$A$3:$A$475))) * (INT(FORECAST!$B$3:$B$475) &lt;= Q$23) * (INT(FORECAST!$C$3:$C$475) &gt;= Q$23), 0), 0)), "")</f>
        <v/>
      </c>
      <c r="R29" s="4" t="str" cm="1">
        <f t="array" ref="R29">IFERROR(INDEX(FORECAST!$D$3:$D$475, MATCH(1, INDEX((ISNUMBER(SEARCH($B29, FORECAST!$A$3:$A$475))) * (INT(FORECAST!$B$3:$B$475) &lt;= R$23) * (INT(FORECAST!$C$3:$C$475) &gt;= R$23), 0), 0)), "")</f>
        <v/>
      </c>
      <c r="S29" s="4" t="str" cm="1">
        <f t="array" ref="S29">IFERROR(INDEX(FORECAST!$D$3:$D$475, MATCH(1, INDEX((ISNUMBER(SEARCH($B29, FORECAST!$A$3:$A$475))) * (INT(FORECAST!$B$3:$B$475) &lt;= S$23) * (INT(FORECAST!$C$3:$C$475) &gt;= S$23), 0), 0)), "")</f>
        <v/>
      </c>
      <c r="T29" s="4" t="str" cm="1">
        <f t="array" ref="T29">IFERROR(INDEX(FORECAST!$D$3:$D$475, MATCH(1, INDEX((ISNUMBER(SEARCH($B29, FORECAST!$A$3:$A$475))) * (INT(FORECAST!$B$3:$B$475) &lt;= T$23) * (INT(FORECAST!$C$3:$C$475) &gt;= T$23), 0), 0)), "")</f>
        <v/>
      </c>
      <c r="U29" s="4" t="str" cm="1">
        <f t="array" ref="U29">IFERROR(INDEX(FORECAST!$D$3:$D$475, MATCH(1, INDEX((ISNUMBER(SEARCH($B29, FORECAST!$A$3:$A$475))) * (INT(FORECAST!$B$3:$B$475) &lt;= U$23) * (INT(FORECAST!$C$3:$C$475) &gt;= U$23), 0), 0)), "")</f>
        <v/>
      </c>
      <c r="V29" s="4" t="str" cm="1">
        <f t="array" ref="V29">IFERROR(INDEX(FORECAST!$D$3:$D$475, MATCH(1, INDEX((ISNUMBER(SEARCH($B29, FORECAST!$A$3:$A$475))) * (INT(FORECAST!$B$3:$B$475) &lt;= V$23) * (INT(FORECAST!$C$3:$C$475) &gt;= V$23), 0), 0)), "")</f>
        <v/>
      </c>
      <c r="W29" s="4" t="str" cm="1">
        <f t="array" ref="W29">IFERROR(INDEX(FORECAST!$D$3:$D$475, MATCH(1, INDEX((ISNUMBER(SEARCH($B29, FORECAST!$A$3:$A$475))) * (INT(FORECAST!$B$3:$B$475) &lt;= W$23) * (INT(FORECAST!$C$3:$C$475) &gt;= W$23), 0), 0)), "")</f>
        <v/>
      </c>
      <c r="X29" s="4" t="str" cm="1">
        <f t="array" ref="X29">IFERROR(INDEX(FORECAST!$D$3:$D$475, MATCH(1, INDEX((ISNUMBER(SEARCH($B29, FORECAST!$A$3:$A$475))) * (INT(FORECAST!$B$3:$B$475) &lt;= X$23) * (INT(FORECAST!$C$3:$C$475) &gt;= X$23), 0), 0)), "")</f>
        <v/>
      </c>
      <c r="Y29" s="4" t="str" cm="1">
        <f t="array" ref="Y29">IFERROR(INDEX(FORECAST!$D$3:$D$475, MATCH(1, INDEX((ISNUMBER(SEARCH($B29, FORECAST!$A$3:$A$475))) * (INT(FORECAST!$B$3:$B$475) &lt;= Y$23) * (INT(FORECAST!$C$3:$C$475) &gt;= Y$23), 0), 0)), "")</f>
        <v>Garantizado</v>
      </c>
      <c r="Z29" s="4" t="str" cm="1">
        <f t="array" ref="Z29">IFERROR(INDEX(FORECAST!$D$3:$D$475, MATCH(1, INDEX((ISNUMBER(SEARCH($B29, FORECAST!$A$3:$A$475))) * (INT(FORECAST!$B$3:$B$475) &lt;= Z$23) * (INT(FORECAST!$C$3:$C$475) &gt;= Z$23), 0), 0)), "")</f>
        <v>Garantizado</v>
      </c>
      <c r="AA29" s="4" t="str" cm="1">
        <f t="array" ref="AA29">IFERROR(INDEX(FORECAST!$D$3:$D$475, MATCH(1, INDEX((ISNUMBER(SEARCH($B29, FORECAST!$A$3:$A$475))) * (INT(FORECAST!$B$3:$B$475) &lt;= AA$23) * (INT(FORECAST!$C$3:$C$475) &gt;= AA$23), 0), 0)), "")</f>
        <v/>
      </c>
      <c r="AB29" s="4" t="str" cm="1">
        <f t="array" ref="AB29">IFERROR(INDEX(FORECAST!$D$3:$D$475, MATCH(1, INDEX((ISNUMBER(SEARCH($B29, FORECAST!$A$3:$A$475))) * (INT(FORECAST!$B$3:$B$475) &lt;= AB$23) * (INT(FORECAST!$C$3:$C$475) &gt;= AB$23), 0), 0)), "")</f>
        <v/>
      </c>
      <c r="AC29" s="4" t="str" cm="1">
        <f t="array" ref="AC29">IFERROR(INDEX(FORECAST!$D$3:$D$475, MATCH(1, INDEX((ISNUMBER(SEARCH($B29, FORECAST!$A$3:$A$475))) * (INT(FORECAST!$B$3:$B$475) &lt;= AC$23) * (INT(FORECAST!$C$3:$C$475) &gt;= AC$23), 0), 0)), "")</f>
        <v>Garantizado</v>
      </c>
      <c r="AD29" s="4" t="str" cm="1">
        <f t="array" ref="AD29">IFERROR(INDEX(FORECAST!$D$3:$D$475, MATCH(1, INDEX((ISNUMBER(SEARCH($B29, FORECAST!$A$3:$A$475))) * (INT(FORECAST!$B$3:$B$475) &lt;= AD$23) * (INT(FORECAST!$C$3:$C$475) &gt;= AD$23), 0), 0)), "")</f>
        <v>Garantizado</v>
      </c>
      <c r="AF29" s="10"/>
      <c r="AG29" s="9"/>
      <c r="AH29" s="9"/>
      <c r="AI29" s="2"/>
      <c r="AJ29" s="45">
        <f t="shared" si="1"/>
        <v>0.2857142857142857</v>
      </c>
      <c r="AM29" s="38"/>
      <c r="AN29" s="2"/>
      <c r="AO29" s="2"/>
    </row>
    <row r="30" spans="1:41" x14ac:dyDescent="0.25">
      <c r="A30" s="71"/>
      <c r="B30" s="26" t="s">
        <v>9</v>
      </c>
      <c r="C30" s="4" t="str" cm="1">
        <f t="array" ref="C30">IFERROR(INDEX(FORECAST!$D$3:$D$475, MATCH(1, INDEX((ISNUMBER(SEARCH($B30, FORECAST!$A$3:$A$475))) * (INT(FORECAST!$B$3:$B$475) &lt;= C$23) * (INT(FORECAST!$C$3:$C$475) &gt;= C$23), 0), 0)), "")</f>
        <v/>
      </c>
      <c r="D30" s="4" t="str" cm="1">
        <f t="array" ref="D30">IFERROR(INDEX(FORECAST!$D$3:$D$475, MATCH(1, INDEX((ISNUMBER(SEARCH($B30, FORECAST!$A$3:$A$475))) * (INT(FORECAST!$B$3:$B$475) &lt;= D$23) * (INT(FORECAST!$C$3:$C$475) &gt;= D$23), 0), 0)), "")</f>
        <v/>
      </c>
      <c r="E30" s="4" t="str" cm="1">
        <f t="array" ref="E30">IFERROR(INDEX(FORECAST!$D$3:$D$475, MATCH(1, INDEX((ISNUMBER(SEARCH($B30, FORECAST!$A$3:$A$475))) * (INT(FORECAST!$B$3:$B$475) &lt;= E$23) * (INT(FORECAST!$C$3:$C$475) &gt;= E$23), 0), 0)), "")</f>
        <v/>
      </c>
      <c r="F30" s="4" t="str" cm="1">
        <f t="array" ref="F30">IFERROR(INDEX(FORECAST!$D$3:$D$475, MATCH(1, INDEX((ISNUMBER(SEARCH($B30, FORECAST!$A$3:$A$475))) * (INT(FORECAST!$B$3:$B$475) &lt;= F$23) * (INT(FORECAST!$C$3:$C$475) &gt;= F$23), 0), 0)), "")</f>
        <v/>
      </c>
      <c r="G30" s="4" t="str" cm="1">
        <f t="array" ref="G30">IFERROR(INDEX(FORECAST!$D$3:$D$475, MATCH(1, INDEX((ISNUMBER(SEARCH($B30, FORECAST!$A$3:$A$475))) * (INT(FORECAST!$B$3:$B$475) &lt;= G$23) * (INT(FORECAST!$C$3:$C$475) &gt;= G$23), 0), 0)), "")</f>
        <v/>
      </c>
      <c r="H30" s="4" t="str" cm="1">
        <f t="array" ref="H30">IFERROR(INDEX(FORECAST!$D$3:$D$475, MATCH(1, INDEX((ISNUMBER(SEARCH($B30, FORECAST!$A$3:$A$475))) * (INT(FORECAST!$B$3:$B$475) &lt;= H$23) * (INT(FORECAST!$C$3:$C$475) &gt;= H$23), 0), 0)), "")</f>
        <v/>
      </c>
      <c r="I30" s="4" t="str" cm="1">
        <f t="array" ref="I30">IFERROR(INDEX(FORECAST!$D$3:$D$475, MATCH(1, INDEX((ISNUMBER(SEARCH($B30, FORECAST!$A$3:$A$475))) * (INT(FORECAST!$B$3:$B$475) &lt;= I$23) * (INT(FORECAST!$C$3:$C$475) &gt;= I$23), 0), 0)), "")</f>
        <v/>
      </c>
      <c r="J30" s="4" t="str" cm="1">
        <f t="array" ref="J30">IFERROR(INDEX(FORECAST!$D$3:$D$475, MATCH(1, INDEX((ISNUMBER(SEARCH($B30, FORECAST!$A$3:$A$475))) * (INT(FORECAST!$B$3:$B$475) &lt;= J$23) * (INT(FORECAST!$C$3:$C$475) &gt;= J$23), 0), 0)), "")</f>
        <v/>
      </c>
      <c r="K30" s="4" t="str" cm="1">
        <f t="array" ref="K30">IFERROR(INDEX(FORECAST!$D$3:$D$475, MATCH(1, INDEX((ISNUMBER(SEARCH($B30, FORECAST!$A$3:$A$475))) * (INT(FORECAST!$B$3:$B$475) &lt;= K$23) * (INT(FORECAST!$C$3:$C$475) &gt;= K$23), 0), 0)), "")</f>
        <v/>
      </c>
      <c r="L30" s="4" t="str" cm="1">
        <f t="array" ref="L30">IFERROR(INDEX(FORECAST!$D$3:$D$475, MATCH(1, INDEX((ISNUMBER(SEARCH($B30, FORECAST!$A$3:$A$475))) * (INT(FORECAST!$B$3:$B$475) &lt;= L$23) * (INT(FORECAST!$C$3:$C$475) &gt;= L$23), 0), 0)), "")</f>
        <v/>
      </c>
      <c r="M30" s="4" t="str" cm="1">
        <f t="array" ref="M30">IFERROR(INDEX(FORECAST!$D$3:$D$475, MATCH(1, INDEX((ISNUMBER(SEARCH($B30, FORECAST!$A$3:$A$475))) * (INT(FORECAST!$B$3:$B$475) &lt;= M$23) * (INT(FORECAST!$C$3:$C$475) &gt;= M$23), 0), 0)), "")</f>
        <v/>
      </c>
      <c r="N30" s="4" t="str" cm="1">
        <f t="array" ref="N30">IFERROR(INDEX(FORECAST!$D$3:$D$475, MATCH(1, INDEX((ISNUMBER(SEARCH($B30, FORECAST!$A$3:$A$475))) * (INT(FORECAST!$B$3:$B$475) &lt;= N$23) * (INT(FORECAST!$C$3:$C$475) &gt;= N$23), 0), 0)), "")</f>
        <v>Garantizado</v>
      </c>
      <c r="O30" s="4" t="str" cm="1">
        <f t="array" ref="O30">IFERROR(INDEX(FORECAST!$D$3:$D$475, MATCH(1, INDEX((ISNUMBER(SEARCH($B30, FORECAST!$A$3:$A$475))) * (INT(FORECAST!$B$3:$B$475) &lt;= O$23) * (INT(FORECAST!$C$3:$C$475) &gt;= O$23), 0), 0)), "")</f>
        <v/>
      </c>
      <c r="P30" s="4" t="str" cm="1">
        <f t="array" ref="P30">IFERROR(INDEX(FORECAST!$D$3:$D$475, MATCH(1, INDEX((ISNUMBER(SEARCH($B30, FORECAST!$A$3:$A$475))) * (INT(FORECAST!$B$3:$B$475) &lt;= P$23) * (INT(FORECAST!$C$3:$C$475) &gt;= P$23), 0), 0)), "")</f>
        <v>Garantizado</v>
      </c>
      <c r="Q30" s="4" t="str" cm="1">
        <f t="array" ref="Q30">IFERROR(INDEX(FORECAST!$D$3:$D$475, MATCH(1, INDEX((ISNUMBER(SEARCH($B30, FORECAST!$A$3:$A$475))) * (INT(FORECAST!$B$3:$B$475) &lt;= Q$23) * (INT(FORECAST!$C$3:$C$475) &gt;= Q$23), 0), 0)), "")</f>
        <v/>
      </c>
      <c r="R30" s="4" t="str" cm="1">
        <f t="array" ref="R30">IFERROR(INDEX(FORECAST!$D$3:$D$475, MATCH(1, INDEX((ISNUMBER(SEARCH($B30, FORECAST!$A$3:$A$475))) * (INT(FORECAST!$B$3:$B$475) &lt;= R$23) * (INT(FORECAST!$C$3:$C$475) &gt;= R$23), 0), 0)), "")</f>
        <v/>
      </c>
      <c r="S30" s="4" t="str" cm="1">
        <f t="array" ref="S30">IFERROR(INDEX(FORECAST!$D$3:$D$475, MATCH(1, INDEX((ISNUMBER(SEARCH($B30, FORECAST!$A$3:$A$475))) * (INT(FORECAST!$B$3:$B$475) &lt;= S$23) * (INT(FORECAST!$C$3:$C$475) &gt;= S$23), 0), 0)), "")</f>
        <v/>
      </c>
      <c r="T30" s="4" t="str" cm="1">
        <f t="array" ref="T30">IFERROR(INDEX(FORECAST!$D$3:$D$475, MATCH(1, INDEX((ISNUMBER(SEARCH($B30, FORECAST!$A$3:$A$475))) * (INT(FORECAST!$B$3:$B$475) &lt;= T$23) * (INT(FORECAST!$C$3:$C$475) &gt;= T$23), 0), 0)), "")</f>
        <v/>
      </c>
      <c r="U30" s="4" t="str" cm="1">
        <f t="array" ref="U30">IFERROR(INDEX(FORECAST!$D$3:$D$475, MATCH(1, INDEX((ISNUMBER(SEARCH($B30, FORECAST!$A$3:$A$475))) * (INT(FORECAST!$B$3:$B$475) &lt;= U$23) * (INT(FORECAST!$C$3:$C$475) &gt;= U$23), 0), 0)), "")</f>
        <v>Garantizado</v>
      </c>
      <c r="V30" s="4" t="str" cm="1">
        <f t="array" ref="V30">IFERROR(INDEX(FORECAST!$D$3:$D$475, MATCH(1, INDEX((ISNUMBER(SEARCH($B30, FORECAST!$A$3:$A$475))) * (INT(FORECAST!$B$3:$B$475) &lt;= V$23) * (INT(FORECAST!$C$3:$C$475) &gt;= V$23), 0), 0)), "")</f>
        <v/>
      </c>
      <c r="W30" s="4" t="str" cm="1">
        <f t="array" ref="W30">IFERROR(INDEX(FORECAST!$D$3:$D$475, MATCH(1, INDEX((ISNUMBER(SEARCH($B30, FORECAST!$A$3:$A$475))) * (INT(FORECAST!$B$3:$B$475) &lt;= W$23) * (INT(FORECAST!$C$3:$C$475) &gt;= W$23), 0), 0)), "")</f>
        <v/>
      </c>
      <c r="X30" s="4" t="str" cm="1">
        <f t="array" ref="X30">IFERROR(INDEX(FORECAST!$D$3:$D$475, MATCH(1, INDEX((ISNUMBER(SEARCH($B30, FORECAST!$A$3:$A$475))) * (INT(FORECAST!$B$3:$B$475) &lt;= X$23) * (INT(FORECAST!$C$3:$C$475) &gt;= X$23), 0), 0)), "")</f>
        <v/>
      </c>
      <c r="Y30" s="4" t="str" cm="1">
        <f t="array" ref="Y30">IFERROR(INDEX(FORECAST!$D$3:$D$475, MATCH(1, INDEX((ISNUMBER(SEARCH($B30, FORECAST!$A$3:$A$475))) * (INT(FORECAST!$B$3:$B$475) &lt;= Y$23) * (INT(FORECAST!$C$3:$C$475) &gt;= Y$23), 0), 0)), "")</f>
        <v/>
      </c>
      <c r="Z30" s="4" t="str" cm="1">
        <f t="array" ref="Z30">IFERROR(INDEX(FORECAST!$D$3:$D$475, MATCH(1, INDEX((ISNUMBER(SEARCH($B30, FORECAST!$A$3:$A$475))) * (INT(FORECAST!$B$3:$B$475) &lt;= Z$23) * (INT(FORECAST!$C$3:$C$475) &gt;= Z$23), 0), 0)), "")</f>
        <v/>
      </c>
      <c r="AA30" s="4" t="str" cm="1">
        <f t="array" ref="AA30">IFERROR(INDEX(FORECAST!$D$3:$D$475, MATCH(1, INDEX((ISNUMBER(SEARCH($B30, FORECAST!$A$3:$A$475))) * (INT(FORECAST!$B$3:$B$475) &lt;= AA$23) * (INT(FORECAST!$C$3:$C$475) &gt;= AA$23), 0), 0)), "")</f>
        <v/>
      </c>
      <c r="AB30" s="4" t="str" cm="1">
        <f t="array" ref="AB30">IFERROR(INDEX(FORECAST!$D$3:$D$475, MATCH(1, INDEX((ISNUMBER(SEARCH($B30, FORECAST!$A$3:$A$475))) * (INT(FORECAST!$B$3:$B$475) &lt;= AB$23) * (INT(FORECAST!$C$3:$C$475) &gt;= AB$23), 0), 0)), "")</f>
        <v/>
      </c>
      <c r="AC30" s="4" t="str" cm="1">
        <f t="array" ref="AC30">IFERROR(INDEX(FORECAST!$D$3:$D$475, MATCH(1, INDEX((ISNUMBER(SEARCH($B30, FORECAST!$A$3:$A$475))) * (INT(FORECAST!$B$3:$B$475) &lt;= AC$23) * (INT(FORECAST!$C$3:$C$475) &gt;= AC$23), 0), 0)), "")</f>
        <v/>
      </c>
      <c r="AD30" s="4" t="str" cm="1">
        <f t="array" ref="AD30">IFERROR(INDEX(FORECAST!$D$3:$D$475, MATCH(1, INDEX((ISNUMBER(SEARCH($B30, FORECAST!$A$3:$A$475))) * (INT(FORECAST!$B$3:$B$475) &lt;= AD$23) * (INT(FORECAST!$C$3:$C$475) &gt;= AD$23), 0), 0)), "")</f>
        <v/>
      </c>
      <c r="AF30" s="10"/>
      <c r="AG30" s="9"/>
      <c r="AH30" s="9"/>
      <c r="AI30" s="2"/>
      <c r="AJ30" s="45">
        <f t="shared" si="1"/>
        <v>0.10714285714285714</v>
      </c>
      <c r="AM30" s="2"/>
      <c r="AN30" s="2"/>
      <c r="AO30" s="2"/>
    </row>
    <row r="31" spans="1:41" x14ac:dyDescent="0.25">
      <c r="A31" s="72"/>
      <c r="B31" s="26" t="s">
        <v>80</v>
      </c>
      <c r="C31" s="4" t="str" cm="1">
        <f t="array" ref="C31">IFERROR(INDEX(FORECAST!$D$3:$D$475, MATCH(1, INDEX((ISNUMBER(SEARCH($B31, FORECAST!$A$3:$A$475))) * (INT(FORECAST!$B$3:$B$475) &lt;= C$23) * (INT(FORECAST!$C$3:$C$475) &gt;= C$23), 0), 0)), "")</f>
        <v/>
      </c>
      <c r="D31" s="4" t="str" cm="1">
        <f t="array" ref="D31">IFERROR(INDEX(FORECAST!$D$3:$D$475, MATCH(1, INDEX((ISNUMBER(SEARCH($B31, FORECAST!$A$3:$A$475))) * (INT(FORECAST!$B$3:$B$475) &lt;= D$23) * (INT(FORECAST!$C$3:$C$475) &gt;= D$23), 0), 0)), "")</f>
        <v/>
      </c>
      <c r="E31" s="4" t="str" cm="1">
        <f t="array" ref="E31">IFERROR(INDEX(FORECAST!$D$3:$D$475, MATCH(1, INDEX((ISNUMBER(SEARCH($B31, FORECAST!$A$3:$A$475))) * (INT(FORECAST!$B$3:$B$475) &lt;= E$23) * (INT(FORECAST!$C$3:$C$475) &gt;= E$23), 0), 0)), "")</f>
        <v/>
      </c>
      <c r="F31" s="4" t="str" cm="1">
        <f t="array" ref="F31">IFERROR(INDEX(FORECAST!$D$3:$D$475, MATCH(1, INDEX((ISNUMBER(SEARCH($B31, FORECAST!$A$3:$A$475))) * (INT(FORECAST!$B$3:$B$475) &lt;= F$23) * (INT(FORECAST!$C$3:$C$475) &gt;= F$23), 0), 0)), "")</f>
        <v/>
      </c>
      <c r="G31" s="4" t="str" cm="1">
        <f t="array" ref="G31">IFERROR(INDEX(FORECAST!$D$3:$D$475, MATCH(1, INDEX((ISNUMBER(SEARCH($B31, FORECAST!$A$3:$A$475))) * (INT(FORECAST!$B$3:$B$475) &lt;= G$23) * (INT(FORECAST!$C$3:$C$475) &gt;= G$23), 0), 0)), "")</f>
        <v/>
      </c>
      <c r="H31" s="4" t="str" cm="1">
        <f t="array" ref="H31">IFERROR(INDEX(FORECAST!$D$3:$D$475, MATCH(1, INDEX((ISNUMBER(SEARCH($B31, FORECAST!$A$3:$A$475))) * (INT(FORECAST!$B$3:$B$475) &lt;= H$23) * (INT(FORECAST!$C$3:$C$475) &gt;= H$23), 0), 0)), "")</f>
        <v/>
      </c>
      <c r="I31" s="4" t="str" cm="1">
        <f t="array" ref="I31">IFERROR(INDEX(FORECAST!$D$3:$D$475, MATCH(1, INDEX((ISNUMBER(SEARCH($B31, FORECAST!$A$3:$A$475))) * (INT(FORECAST!$B$3:$B$475) &lt;= I$23) * (INT(FORECAST!$C$3:$C$475) &gt;= I$23), 0), 0)), "")</f>
        <v/>
      </c>
      <c r="J31" s="4" t="str" cm="1">
        <f t="array" ref="J31">IFERROR(INDEX(FORECAST!$D$3:$D$475, MATCH(1, INDEX((ISNUMBER(SEARCH($B31, FORECAST!$A$3:$A$475))) * (INT(FORECAST!$B$3:$B$475) &lt;= J$23) * (INT(FORECAST!$C$3:$C$475) &gt;= J$23), 0), 0)), "")</f>
        <v/>
      </c>
      <c r="K31" s="4" t="str" cm="1">
        <f t="array" ref="K31">IFERROR(INDEX(FORECAST!$D$3:$D$475, MATCH(1, INDEX((ISNUMBER(SEARCH($B31, FORECAST!$A$3:$A$475))) * (INT(FORECAST!$B$3:$B$475) &lt;= K$23) * (INT(FORECAST!$C$3:$C$475) &gt;= K$23), 0), 0)), "")</f>
        <v/>
      </c>
      <c r="L31" s="4" t="str" cm="1">
        <f t="array" ref="L31">IFERROR(INDEX(FORECAST!$D$3:$D$475, MATCH(1, INDEX((ISNUMBER(SEARCH($B31, FORECAST!$A$3:$A$475))) * (INT(FORECAST!$B$3:$B$475) &lt;= L$23) * (INT(FORECAST!$C$3:$C$475) &gt;= L$23), 0), 0)), "")</f>
        <v/>
      </c>
      <c r="M31" s="4" t="str" cm="1">
        <f t="array" ref="M31">IFERROR(INDEX(FORECAST!$D$3:$D$475, MATCH(1, INDEX((ISNUMBER(SEARCH($B31, FORECAST!$A$3:$A$475))) * (INT(FORECAST!$B$3:$B$475) &lt;= M$23) * (INT(FORECAST!$C$3:$C$475) &gt;= M$23), 0), 0)), "")</f>
        <v/>
      </c>
      <c r="N31" s="4" t="str" cm="1">
        <f t="array" ref="N31">IFERROR(INDEX(FORECAST!$D$3:$D$475, MATCH(1, INDEX((ISNUMBER(SEARCH($B31, FORECAST!$A$3:$A$475))) * (INT(FORECAST!$B$3:$B$475) &lt;= N$23) * (INT(FORECAST!$C$3:$C$475) &gt;= N$23), 0), 0)), "")</f>
        <v/>
      </c>
      <c r="O31" s="4" t="str" cm="1">
        <f t="array" ref="O31">IFERROR(INDEX(FORECAST!$D$3:$D$475, MATCH(1, INDEX((ISNUMBER(SEARCH($B31, FORECAST!$A$3:$A$475))) * (INT(FORECAST!$B$3:$B$475) &lt;= O$23) * (INT(FORECAST!$C$3:$C$475) &gt;= O$23), 0), 0)), "")</f>
        <v/>
      </c>
      <c r="P31" s="4" t="str" cm="1">
        <f t="array" ref="P31">IFERROR(INDEX(FORECAST!$D$3:$D$475, MATCH(1, INDEX((ISNUMBER(SEARCH($B31, FORECAST!$A$3:$A$475))) * (INT(FORECAST!$B$3:$B$475) &lt;= P$23) * (INT(FORECAST!$C$3:$C$475) &gt;= P$23), 0), 0)), "")</f>
        <v/>
      </c>
      <c r="Q31" s="4" t="str" cm="1">
        <f t="array" ref="Q31">IFERROR(INDEX(FORECAST!$D$3:$D$475, MATCH(1, INDEX((ISNUMBER(SEARCH($B31, FORECAST!$A$3:$A$475))) * (INT(FORECAST!$B$3:$B$475) &lt;= Q$23) * (INT(FORECAST!$C$3:$C$475) &gt;= Q$23), 0), 0)), "")</f>
        <v/>
      </c>
      <c r="R31" s="4" t="str" cm="1">
        <f t="array" ref="R31">IFERROR(INDEX(FORECAST!$D$3:$D$475, MATCH(1, INDEX((ISNUMBER(SEARCH($B31, FORECAST!$A$3:$A$475))) * (INT(FORECAST!$B$3:$B$475) &lt;= R$23) * (INT(FORECAST!$C$3:$C$475) &gt;= R$23), 0), 0)), "")</f>
        <v/>
      </c>
      <c r="S31" s="4" t="str" cm="1">
        <f t="array" ref="S31">IFERROR(INDEX(FORECAST!$D$3:$D$475, MATCH(1, INDEX((ISNUMBER(SEARCH($B31, FORECAST!$A$3:$A$475))) * (INT(FORECAST!$B$3:$B$475) &lt;= S$23) * (INT(FORECAST!$C$3:$C$475) &gt;= S$23), 0), 0)), "")</f>
        <v/>
      </c>
      <c r="T31" s="4" t="str" cm="1">
        <f t="array" ref="T31">IFERROR(INDEX(FORECAST!$D$3:$D$475, MATCH(1, INDEX((ISNUMBER(SEARCH($B31, FORECAST!$A$3:$A$475))) * (INT(FORECAST!$B$3:$B$475) &lt;= T$23) * (INT(FORECAST!$C$3:$C$475) &gt;= T$23), 0), 0)), "")</f>
        <v/>
      </c>
      <c r="U31" s="4" t="str" cm="1">
        <f t="array" ref="U31">IFERROR(INDEX(FORECAST!$D$3:$D$475, MATCH(1, INDEX((ISNUMBER(SEARCH($B31, FORECAST!$A$3:$A$475))) * (INT(FORECAST!$B$3:$B$475) &lt;= U$23) * (INT(FORECAST!$C$3:$C$475) &gt;= U$23), 0), 0)), "")</f>
        <v/>
      </c>
      <c r="V31" s="4" t="str" cm="1">
        <f t="array" ref="V31">IFERROR(INDEX(FORECAST!$D$3:$D$475, MATCH(1, INDEX((ISNUMBER(SEARCH($B31, FORECAST!$A$3:$A$475))) * (INT(FORECAST!$B$3:$B$475) &lt;= V$23) * (INT(FORECAST!$C$3:$C$475) &gt;= V$23), 0), 0)), "")</f>
        <v/>
      </c>
      <c r="W31" s="4" t="str" cm="1">
        <f t="array" ref="W31">IFERROR(INDEX(FORECAST!$D$3:$D$475, MATCH(1, INDEX((ISNUMBER(SEARCH($B31, FORECAST!$A$3:$A$475))) * (INT(FORECAST!$B$3:$B$475) &lt;= W$23) * (INT(FORECAST!$C$3:$C$475) &gt;= W$23), 0), 0)), "")</f>
        <v/>
      </c>
      <c r="X31" s="4" t="str" cm="1">
        <f t="array" ref="X31">IFERROR(INDEX(FORECAST!$D$3:$D$475, MATCH(1, INDEX((ISNUMBER(SEARCH($B31, FORECAST!$A$3:$A$475))) * (INT(FORECAST!$B$3:$B$475) &lt;= X$23) * (INT(FORECAST!$C$3:$C$475) &gt;= X$23), 0), 0)), "")</f>
        <v/>
      </c>
      <c r="Y31" s="4" t="str" cm="1">
        <f t="array" ref="Y31">IFERROR(INDEX(FORECAST!$D$3:$D$475, MATCH(1, INDEX((ISNUMBER(SEARCH($B31, FORECAST!$A$3:$A$475))) * (INT(FORECAST!$B$3:$B$475) &lt;= Y$23) * (INT(FORECAST!$C$3:$C$475) &gt;= Y$23), 0), 0)), "")</f>
        <v/>
      </c>
      <c r="Z31" s="4" t="str" cm="1">
        <f t="array" ref="Z31">IFERROR(INDEX(FORECAST!$D$3:$D$475, MATCH(1, INDEX((ISNUMBER(SEARCH($B31, FORECAST!$A$3:$A$475))) * (INT(FORECAST!$B$3:$B$475) &lt;= Z$23) * (INT(FORECAST!$C$3:$C$475) &gt;= Z$23), 0), 0)), "")</f>
        <v/>
      </c>
      <c r="AA31" s="4" t="str" cm="1">
        <f t="array" ref="AA31">IFERROR(INDEX(FORECAST!$D$3:$D$475, MATCH(1, INDEX((ISNUMBER(SEARCH($B31, FORECAST!$A$3:$A$475))) * (INT(FORECAST!$B$3:$B$475) &lt;= AA$23) * (INT(FORECAST!$C$3:$C$475) &gt;= AA$23), 0), 0)), "")</f>
        <v/>
      </c>
      <c r="AB31" s="4" t="str" cm="1">
        <f t="array" ref="AB31">IFERROR(INDEX(FORECAST!$D$3:$D$475, MATCH(1, INDEX((ISNUMBER(SEARCH($B31, FORECAST!$A$3:$A$475))) * (INT(FORECAST!$B$3:$B$475) &lt;= AB$23) * (INT(FORECAST!$C$3:$C$475) &gt;= AB$23), 0), 0)), "")</f>
        <v/>
      </c>
      <c r="AC31" s="4" t="str" cm="1">
        <f t="array" ref="AC31">IFERROR(INDEX(FORECAST!$D$3:$D$475, MATCH(1, INDEX((ISNUMBER(SEARCH($B31, FORECAST!$A$3:$A$475))) * (INT(FORECAST!$B$3:$B$475) &lt;= AC$23) * (INT(FORECAST!$C$3:$C$475) &gt;= AC$23), 0), 0)), "")</f>
        <v/>
      </c>
      <c r="AD31" s="4" t="str" cm="1">
        <f t="array" ref="AD31">IFERROR(INDEX(FORECAST!$D$3:$D$475, MATCH(1, INDEX((ISNUMBER(SEARCH($B31, FORECAST!$A$3:$A$475))) * (INT(FORECAST!$B$3:$B$475) &lt;= AD$23) * (INT(FORECAST!$C$3:$C$475) &gt;= AD$23), 0), 0)), "")</f>
        <v/>
      </c>
      <c r="AF31" s="10"/>
      <c r="AG31" s="9"/>
      <c r="AH31" s="9"/>
      <c r="AI31" s="2"/>
      <c r="AJ31" s="45">
        <f t="shared" si="1"/>
        <v>0</v>
      </c>
      <c r="AM31" s="2"/>
      <c r="AN31" s="2"/>
      <c r="AO31" s="2"/>
    </row>
    <row r="32" spans="1:41" x14ac:dyDescent="0.25">
      <c r="AF32" s="10"/>
      <c r="AG32" s="9"/>
      <c r="AH32" s="9"/>
      <c r="AI32" s="2"/>
      <c r="AK32" s="2"/>
    </row>
    <row r="33" spans="1:38" x14ac:dyDescent="0.25">
      <c r="C33" s="7" t="s">
        <v>505</v>
      </c>
      <c r="D33" s="1" t="s">
        <v>506</v>
      </c>
      <c r="E33" s="1" t="s">
        <v>507</v>
      </c>
      <c r="F33" s="1" t="s">
        <v>508</v>
      </c>
      <c r="G33" s="1" t="s">
        <v>502</v>
      </c>
      <c r="H33" s="1" t="s">
        <v>503</v>
      </c>
      <c r="I33" s="7" t="s">
        <v>504</v>
      </c>
      <c r="J33" s="7" t="s">
        <v>505</v>
      </c>
      <c r="K33" s="1" t="s">
        <v>506</v>
      </c>
      <c r="L33" s="1" t="s">
        <v>507</v>
      </c>
      <c r="M33" s="1" t="s">
        <v>508</v>
      </c>
      <c r="N33" s="1" t="s">
        <v>502</v>
      </c>
      <c r="O33" s="1" t="s">
        <v>503</v>
      </c>
      <c r="P33" s="7" t="s">
        <v>504</v>
      </c>
      <c r="Q33" s="7" t="s">
        <v>505</v>
      </c>
      <c r="R33" s="16" t="s">
        <v>506</v>
      </c>
      <c r="S33" s="16" t="s">
        <v>507</v>
      </c>
      <c r="T33" s="1" t="s">
        <v>508</v>
      </c>
      <c r="U33" s="1" t="s">
        <v>502</v>
      </c>
      <c r="V33" s="1" t="s">
        <v>503</v>
      </c>
      <c r="W33" s="7" t="s">
        <v>509</v>
      </c>
      <c r="X33" s="7" t="s">
        <v>510</v>
      </c>
      <c r="Y33" s="56" t="s">
        <v>511</v>
      </c>
      <c r="Z33" s="13" t="s">
        <v>512</v>
      </c>
      <c r="AA33" s="1" t="s">
        <v>513</v>
      </c>
      <c r="AB33" s="1" t="s">
        <v>514</v>
      </c>
      <c r="AC33" s="1" t="s">
        <v>515</v>
      </c>
      <c r="AD33" s="24" t="s">
        <v>509</v>
      </c>
      <c r="AE33" s="24" t="s">
        <v>510</v>
      </c>
      <c r="AF33" s="16" t="s">
        <v>511</v>
      </c>
      <c r="AG33" s="1" t="s">
        <v>512</v>
      </c>
      <c r="AH33" s="9"/>
      <c r="AI33" s="2"/>
      <c r="AK33" s="2"/>
    </row>
    <row r="34" spans="1:38" x14ac:dyDescent="0.25">
      <c r="C34" s="62">
        <v>46082</v>
      </c>
      <c r="D34" s="62">
        <v>46083</v>
      </c>
      <c r="E34" s="62">
        <v>46084</v>
      </c>
      <c r="F34" s="62">
        <v>46085</v>
      </c>
      <c r="G34" s="62">
        <v>46086</v>
      </c>
      <c r="H34" s="62">
        <v>46087</v>
      </c>
      <c r="I34" s="62">
        <v>46088</v>
      </c>
      <c r="J34" s="62">
        <v>46089</v>
      </c>
      <c r="K34" s="62">
        <v>46090</v>
      </c>
      <c r="L34" s="62">
        <v>46091</v>
      </c>
      <c r="M34" s="62">
        <v>46092</v>
      </c>
      <c r="N34" s="62">
        <v>46093</v>
      </c>
      <c r="O34" s="62">
        <v>46094</v>
      </c>
      <c r="P34" s="62">
        <v>46095</v>
      </c>
      <c r="Q34" s="62">
        <v>46096</v>
      </c>
      <c r="R34" s="62">
        <v>46097</v>
      </c>
      <c r="S34" s="62">
        <v>46098</v>
      </c>
      <c r="T34" s="62">
        <v>46099</v>
      </c>
      <c r="U34" s="62">
        <v>46100</v>
      </c>
      <c r="V34" s="62">
        <v>46101</v>
      </c>
      <c r="W34" s="62">
        <v>46102</v>
      </c>
      <c r="X34" s="62">
        <v>46103</v>
      </c>
      <c r="Y34" s="62">
        <v>46104</v>
      </c>
      <c r="Z34" s="62">
        <v>46105</v>
      </c>
      <c r="AA34" s="62">
        <v>46106</v>
      </c>
      <c r="AB34" s="62">
        <v>46107</v>
      </c>
      <c r="AC34" s="62">
        <v>46108</v>
      </c>
      <c r="AD34" s="62">
        <v>46109</v>
      </c>
      <c r="AE34" s="62">
        <v>46110</v>
      </c>
      <c r="AF34" s="62">
        <v>46111</v>
      </c>
      <c r="AG34" s="62">
        <v>46112</v>
      </c>
      <c r="AI34" s="2"/>
      <c r="AJ34" s="22" t="s">
        <v>516</v>
      </c>
    </row>
    <row r="35" spans="1:38" ht="15" customHeight="1" x14ac:dyDescent="0.25">
      <c r="A35" s="68" t="s">
        <v>525</v>
      </c>
      <c r="B35" s="25" t="s">
        <v>518</v>
      </c>
      <c r="C35" s="23" t="str" cm="1">
        <f t="array" ref="C35">IFERROR(INDEX(FORECAST!$D$12:$D$475, MATCH(1, INDEX((ISNUMBER(SEARCH($B35, FORECAST!$A$12:$A$475))) * (INT(FORECAST!$B$12:$B$475) &lt;= C$34) * (INT(FORECAST!$C$12:$C$475) &gt;= C$34), 0), 0)), "")</f>
        <v/>
      </c>
      <c r="D35" s="23" t="str" cm="1">
        <f t="array" ref="D35">IFERROR(INDEX(FORECAST!$D$12:$D$475, MATCH(1, INDEX((ISNUMBER(SEARCH($B35, FORECAST!$A$12:$A$475))) * (INT(FORECAST!$B$12:$B$475) &lt;= D$34) * (INT(FORECAST!$C$12:$C$475) &gt;= D$34), 0), 0)), "")</f>
        <v/>
      </c>
      <c r="E35" s="23" t="str" cm="1">
        <f t="array" ref="E35">IFERROR(INDEX(FORECAST!$D$12:$D$475, MATCH(1, INDEX((ISNUMBER(SEARCH($B35, FORECAST!$A$12:$A$475))) * (INT(FORECAST!$B$12:$B$475) &lt;= E$34) * (INT(FORECAST!$C$12:$C$475) &gt;= E$34), 0), 0)), "")</f>
        <v/>
      </c>
      <c r="F35" s="23" t="str" cm="1">
        <f t="array" ref="F35">IFERROR(INDEX(FORECAST!$D$12:$D$475, MATCH(1, INDEX((ISNUMBER(SEARCH($B35, FORECAST!$A$12:$A$475))) * (INT(FORECAST!$B$12:$B$475) &lt;= F$34) * (INT(FORECAST!$C$12:$C$475) &gt;= F$34), 0), 0)), "")</f>
        <v/>
      </c>
      <c r="G35" s="23" t="str" cm="1">
        <f t="array" ref="G35">IFERROR(INDEX(FORECAST!$D$12:$D$475, MATCH(1, INDEX((ISNUMBER(SEARCH($B35, FORECAST!$A$12:$A$475))) * (INT(FORECAST!$B$12:$B$475) &lt;= G$34) * (INT(FORECAST!$C$12:$C$475) &gt;= G$34), 0), 0)), "")</f>
        <v/>
      </c>
      <c r="H35" s="23" t="str" cm="1">
        <f t="array" ref="H35">IFERROR(INDEX(FORECAST!$D$12:$D$475, MATCH(1, INDEX((ISNUMBER(SEARCH($B35, FORECAST!$A$12:$A$475))) * (INT(FORECAST!$B$12:$B$475) &lt;= H$34) * (INT(FORECAST!$C$12:$C$475) &gt;= H$34), 0), 0)), "")</f>
        <v/>
      </c>
      <c r="I35" s="23" t="str" cm="1">
        <f t="array" ref="I35">IFERROR(INDEX(FORECAST!$D$12:$D$475, MATCH(1, INDEX((ISNUMBER(SEARCH($B35, FORECAST!$A$12:$A$475))) * (INT(FORECAST!$B$12:$B$475) &lt;= I$34) * (INT(FORECAST!$C$12:$C$475) &gt;= I$34), 0), 0)), "")</f>
        <v>Garantizado</v>
      </c>
      <c r="J35" s="23" t="str" cm="1">
        <f t="array" ref="J35">IFERROR(INDEX(FORECAST!$D$12:$D$475, MATCH(1, INDEX((ISNUMBER(SEARCH($B35, FORECAST!$A$12:$A$475))) * (INT(FORECAST!$B$12:$B$475) &lt;= J$34) * (INT(FORECAST!$C$12:$C$475) &gt;= J$34), 0), 0)), "")</f>
        <v>Garantizado</v>
      </c>
      <c r="K35" s="23" t="str" cm="1">
        <f t="array" ref="K35">IFERROR(INDEX(FORECAST!$D$12:$D$475, MATCH(1, INDEX((ISNUMBER(SEARCH($B35, FORECAST!$A$12:$A$475))) * (INT(FORECAST!$B$12:$B$475) &lt;= K$34) * (INT(FORECAST!$C$12:$C$475) &gt;= K$34), 0), 0)), "")</f>
        <v>Garantizado</v>
      </c>
      <c r="L35" s="23" t="str" cm="1">
        <f t="array" ref="L35">IFERROR(INDEX(FORECAST!$D$12:$D$475, MATCH(1, INDEX((ISNUMBER(SEARCH($B35, FORECAST!$A$12:$A$475))) * (INT(FORECAST!$B$12:$B$475) &lt;= L$34) * (INT(FORECAST!$C$12:$C$475) &gt;= L$34), 0), 0)), "")</f>
        <v>Garantizado</v>
      </c>
      <c r="M35" s="23" t="str" cm="1">
        <f t="array" ref="M35">IFERROR(INDEX(FORECAST!$D$12:$D$475, MATCH(1, INDEX((ISNUMBER(SEARCH($B35, FORECAST!$A$12:$A$475))) * (INT(FORECAST!$B$12:$B$475) &lt;= M$34) * (INT(FORECAST!$C$12:$C$475) &gt;= M$34), 0), 0)), "")</f>
        <v>Garantizado</v>
      </c>
      <c r="N35" s="23" t="str" cm="1">
        <f t="array" ref="N35">IFERROR(INDEX(FORECAST!$D$12:$D$475, MATCH(1, INDEX((ISNUMBER(SEARCH($B35, FORECAST!$A$12:$A$475))) * (INT(FORECAST!$B$12:$B$475) &lt;= N$34) * (INT(FORECAST!$C$12:$C$475) &gt;= N$34), 0), 0)), "")</f>
        <v/>
      </c>
      <c r="O35" s="23" t="str" cm="1">
        <f t="array" ref="O35">IFERROR(INDEX(FORECAST!$D$12:$D$475, MATCH(1, INDEX((ISNUMBER(SEARCH($B35, FORECAST!$A$12:$A$475))) * (INT(FORECAST!$B$12:$B$475) &lt;= O$34) * (INT(FORECAST!$C$12:$C$475) &gt;= O$34), 0), 0)), "")</f>
        <v/>
      </c>
      <c r="P35" s="23" t="str" cm="1">
        <f t="array" ref="P35">IFERROR(INDEX(FORECAST!$D$12:$D$475, MATCH(1, INDEX((ISNUMBER(SEARCH($B35, FORECAST!$A$12:$A$475))) * (INT(FORECAST!$B$12:$B$475) &lt;= P$34) * (INT(FORECAST!$C$12:$C$475) &gt;= P$34), 0), 0)), "")</f>
        <v/>
      </c>
      <c r="Q35" s="23" t="str" cm="1">
        <f t="array" ref="Q35">IFERROR(INDEX(FORECAST!$D$12:$D$475, MATCH(1, INDEX((ISNUMBER(SEARCH($B35, FORECAST!$A$12:$A$475))) * (INT(FORECAST!$B$12:$B$475) &lt;= Q$34) * (INT(FORECAST!$C$12:$C$475) &gt;= Q$34), 0), 0)), "")</f>
        <v/>
      </c>
      <c r="R35" s="23" t="str" cm="1">
        <f t="array" ref="R35">IFERROR(INDEX(FORECAST!$D$12:$D$475, MATCH(1, INDEX((ISNUMBER(SEARCH($B35, FORECAST!$A$12:$A$475))) * (INT(FORECAST!$B$12:$B$475) &lt;= R$34) * (INT(FORECAST!$C$12:$C$475) &gt;= R$34), 0), 0)), "")</f>
        <v/>
      </c>
      <c r="S35" s="23" t="str" cm="1">
        <f t="array" ref="S35">IFERROR(INDEX(FORECAST!$D$12:$D$475, MATCH(1, INDEX((ISNUMBER(SEARCH($B35, FORECAST!$A$12:$A$475))) * (INT(FORECAST!$B$12:$B$475) &lt;= S$34) * (INT(FORECAST!$C$12:$C$475) &gt;= S$34), 0), 0)), "")</f>
        <v>Garantizado</v>
      </c>
      <c r="T35" s="23" t="str" cm="1">
        <f t="array" ref="T35">IFERROR(INDEX(FORECAST!$D$12:$D$475, MATCH(1, INDEX((ISNUMBER(SEARCH($B35, FORECAST!$A$12:$A$475))) * (INT(FORECAST!$B$12:$B$475) &lt;= T$34) * (INT(FORECAST!$C$12:$C$475) &gt;= T$34), 0), 0)), "")</f>
        <v>Garantizado</v>
      </c>
      <c r="U35" s="23" t="str" cm="1">
        <f t="array" ref="U35">IFERROR(INDEX(FORECAST!$D$12:$D$475, MATCH(1, INDEX((ISNUMBER(SEARCH($B35, FORECAST!$A$12:$A$475))) * (INT(FORECAST!$B$12:$B$475) &lt;= U$34) * (INT(FORECAST!$C$12:$C$475) &gt;= U$34), 0), 0)), "")</f>
        <v>Garantizado</v>
      </c>
      <c r="V35" s="23" t="str" cm="1">
        <f t="array" ref="V35">IFERROR(INDEX(FORECAST!$D$12:$D$475, MATCH(1, INDEX((ISNUMBER(SEARCH($B35, FORECAST!$A$12:$A$475))) * (INT(FORECAST!$B$12:$B$475) &lt;= V$34) * (INT(FORECAST!$C$12:$C$475) &gt;= V$34), 0), 0)), "")</f>
        <v/>
      </c>
      <c r="W35" s="23" t="str" cm="1">
        <f t="array" ref="W35">IFERROR(INDEX(FORECAST!$D$12:$D$475, MATCH(1, INDEX((ISNUMBER(SEARCH($B35, FORECAST!$A$12:$A$475))) * (INT(FORECAST!$B$12:$B$475) &lt;= W$34) * (INT(FORECAST!$C$12:$C$475) &gt;= W$34), 0), 0)), "")</f>
        <v/>
      </c>
      <c r="X35" s="23" t="str" cm="1">
        <f t="array" ref="X35">IFERROR(INDEX(FORECAST!$D$12:$D$475, MATCH(1, INDEX((ISNUMBER(SEARCH($B35, FORECAST!$A$12:$A$475))) * (INT(FORECAST!$B$12:$B$475) &lt;= X$34) * (INT(FORECAST!$C$12:$C$475) &gt;= X$34), 0), 0)), "")</f>
        <v/>
      </c>
      <c r="Y35" s="23" t="str" cm="1">
        <f t="array" ref="Y35">IFERROR(INDEX(FORECAST!$D$12:$D$475, MATCH(1, INDEX((ISNUMBER(SEARCH($B35, FORECAST!$A$12:$A$475))) * (INT(FORECAST!$B$12:$B$475) &lt;= Y$34) * (INT(FORECAST!$C$12:$C$475) &gt;= Y$34), 0), 0)), "")</f>
        <v>Garantizado</v>
      </c>
      <c r="Z35" s="23" t="str" cm="1">
        <f t="array" ref="Z35">IFERROR(INDEX(FORECAST!$D$12:$D$475, MATCH(1, INDEX((ISNUMBER(SEARCH($B35, FORECAST!$A$12:$A$475))) * (INT(FORECAST!$B$12:$B$475) &lt;= Z$34) * (INT(FORECAST!$C$12:$C$475) &gt;= Z$34), 0), 0)), "")</f>
        <v>Garantizado</v>
      </c>
      <c r="AA35" s="23" t="str" cm="1">
        <f t="array" ref="AA35">IFERROR(INDEX(FORECAST!$D$12:$D$475, MATCH(1, INDEX((ISNUMBER(SEARCH($B35, FORECAST!$A$12:$A$475))) * (INT(FORECAST!$B$12:$B$475) &lt;= AA$34) * (INT(FORECAST!$C$12:$C$475) &gt;= AA$34), 0), 0)), "")</f>
        <v>Garantizado</v>
      </c>
      <c r="AB35" s="23" t="str" cm="1">
        <f t="array" ref="AB35">IFERROR(INDEX(FORECAST!$D$12:$D$475, MATCH(1, INDEX((ISNUMBER(SEARCH($B35, FORECAST!$A$12:$A$475))) * (INT(FORECAST!$B$12:$B$475) &lt;= AB$34) * (INT(FORECAST!$C$12:$C$475) &gt;= AB$34), 0), 0)), "")</f>
        <v>Garantizado</v>
      </c>
      <c r="AC35" s="23" t="str" cm="1">
        <f t="array" ref="AC35">IFERROR(INDEX(FORECAST!$D$12:$D$475, MATCH(1, INDEX((ISNUMBER(SEARCH($B35, FORECAST!$A$12:$A$475))) * (INT(FORECAST!$B$12:$B$475) &lt;= AC$34) * (INT(FORECAST!$C$12:$C$475) &gt;= AC$34), 0), 0)), "")</f>
        <v>Garantizado</v>
      </c>
      <c r="AD35" s="23" t="str" cm="1">
        <f t="array" ref="AD35">IFERROR(INDEX(FORECAST!$D$12:$D$475, MATCH(1, INDEX((ISNUMBER(SEARCH($B35, FORECAST!$A$12:$A$475))) * (INT(FORECAST!$B$12:$B$475) &lt;= AD$34) * (INT(FORECAST!$C$12:$C$475) &gt;= AD$34), 0), 0)), "")</f>
        <v>Tentativo</v>
      </c>
      <c r="AE35" s="23" t="str" cm="1">
        <f t="array" ref="AE35">IFERROR(INDEX(FORECAST!$D$12:$D$475, MATCH(1, INDEX((ISNUMBER(SEARCH($B35, FORECAST!$A$12:$A$475))) * (INT(FORECAST!$B$12:$B$475) &lt;= AE$34) * (INT(FORECAST!$C$12:$C$475) &gt;= AE$34), 0), 0)), "")</f>
        <v/>
      </c>
      <c r="AF35" s="23" t="str" cm="1">
        <f t="array" ref="AF35">IFERROR(INDEX(FORECAST!$D$12:$D$475, MATCH(1, INDEX((ISNUMBER(SEARCH($B35, FORECAST!$A$12:$A$475))) * (INT(FORECAST!$B$12:$B$475) &lt;= AF$34) * (INT(FORECAST!$C$12:$C$475) &gt;= AF$34), 0), 0)), "")</f>
        <v/>
      </c>
      <c r="AG35" s="23" t="str" cm="1">
        <f t="array" ref="AG35">IFERROR(INDEX(FORECAST!$D$12:$D$475, MATCH(1, INDEX((ISNUMBER(SEARCH($B35, FORECAST!$A$12:$A$475))) * (INT(FORECAST!$B$12:$B$475) &lt;= AG$34) * (INT(FORECAST!$C$12:$C$475) &gt;= AG$34), 0), 0)), "")</f>
        <v/>
      </c>
      <c r="AI35" s="2"/>
      <c r="AJ35" s="45">
        <f>COUNTIF(C35:AG35,"Garantizado")/31</f>
        <v>0.41935483870967744</v>
      </c>
    </row>
    <row r="36" spans="1:38" x14ac:dyDescent="0.25">
      <c r="A36" s="69"/>
      <c r="B36" s="25" t="s">
        <v>519</v>
      </c>
      <c r="C36" s="23" t="str" cm="1">
        <f t="array" ref="C36">IFERROR(INDEX(FORECAST!$D$12:$D$475, MATCH(1, INDEX((ISNUMBER(SEARCH($B36, FORECAST!$A$12:$A$475))) * (INT(FORECAST!$B$12:$B$475) &lt;= C$34) * (INT(FORECAST!$C$12:$C$475) &gt;= C$34), 0), 0)), "")</f>
        <v/>
      </c>
      <c r="D36" s="23" t="str" cm="1">
        <f t="array" ref="D36">IFERROR(INDEX(FORECAST!$D$12:$D$475, MATCH(1, INDEX((ISNUMBER(SEARCH($B36, FORECAST!$A$12:$A$475))) * (INT(FORECAST!$B$12:$B$475) &lt;= D$34) * (INT(FORECAST!$C$12:$C$475) &gt;= D$34), 0), 0)), "")</f>
        <v/>
      </c>
      <c r="E36" s="23" t="str" cm="1">
        <f t="array" ref="E36">IFERROR(INDEX(FORECAST!$D$12:$D$475, MATCH(1, INDEX((ISNUMBER(SEARCH($B36, FORECAST!$A$12:$A$475))) * (INT(FORECAST!$B$12:$B$475) &lt;= E$34) * (INT(FORECAST!$C$12:$C$475) &gt;= E$34), 0), 0)), "")</f>
        <v/>
      </c>
      <c r="F36" s="23" t="str" cm="1">
        <f t="array" ref="F36">IFERROR(INDEX(FORECAST!$D$12:$D$475, MATCH(1, INDEX((ISNUMBER(SEARCH($B36, FORECAST!$A$12:$A$475))) * (INT(FORECAST!$B$12:$B$475) &lt;= F$34) * (INT(FORECAST!$C$12:$C$475) &gt;= F$34), 0), 0)), "")</f>
        <v/>
      </c>
      <c r="G36" s="23" t="str" cm="1">
        <f t="array" ref="G36">IFERROR(INDEX(FORECAST!$D$12:$D$475, MATCH(1, INDEX((ISNUMBER(SEARCH($B36, FORECAST!$A$12:$A$475))) * (INT(FORECAST!$B$12:$B$475) &lt;= G$34) * (INT(FORECAST!$C$12:$C$475) &gt;= G$34), 0), 0)), "")</f>
        <v/>
      </c>
      <c r="H36" s="23" t="str" cm="1">
        <f t="array" ref="H36">IFERROR(INDEX(FORECAST!$D$12:$D$475, MATCH(1, INDEX((ISNUMBER(SEARCH($B36, FORECAST!$A$12:$A$475))) * (INT(FORECAST!$B$12:$B$475) &lt;= H$34) * (INT(FORECAST!$C$12:$C$475) &gt;= H$34), 0), 0)), "")</f>
        <v/>
      </c>
      <c r="I36" s="23" t="str" cm="1">
        <f t="array" ref="I36">IFERROR(INDEX(FORECAST!$D$12:$D$475, MATCH(1, INDEX((ISNUMBER(SEARCH($B36, FORECAST!$A$12:$A$475))) * (INT(FORECAST!$B$12:$B$475) &lt;= I$34) * (INT(FORECAST!$C$12:$C$475) &gt;= I$34), 0), 0)), "")</f>
        <v>Garantizado</v>
      </c>
      <c r="J36" s="23" t="str" cm="1">
        <f t="array" ref="J36">IFERROR(INDEX(FORECAST!$D$12:$D$475, MATCH(1, INDEX((ISNUMBER(SEARCH($B36, FORECAST!$A$12:$A$475))) * (INT(FORECAST!$B$12:$B$475) &lt;= J$34) * (INT(FORECAST!$C$12:$C$475) &gt;= J$34), 0), 0)), "")</f>
        <v>Garantizado</v>
      </c>
      <c r="K36" s="23" t="str" cm="1">
        <f t="array" ref="K36">IFERROR(INDEX(FORECAST!$D$12:$D$475, MATCH(1, INDEX((ISNUMBER(SEARCH($B36, FORECAST!$A$12:$A$475))) * (INT(FORECAST!$B$12:$B$475) &lt;= K$34) * (INT(FORECAST!$C$12:$C$475) &gt;= K$34), 0), 0)), "")</f>
        <v>Garantizado</v>
      </c>
      <c r="L36" s="23" t="str" cm="1">
        <f t="array" ref="L36">IFERROR(INDEX(FORECAST!$D$12:$D$475, MATCH(1, INDEX((ISNUMBER(SEARCH($B36, FORECAST!$A$12:$A$475))) * (INT(FORECAST!$B$12:$B$475) &lt;= L$34) * (INT(FORECAST!$C$12:$C$475) &gt;= L$34), 0), 0)), "")</f>
        <v>Garantizado</v>
      </c>
      <c r="M36" s="23" t="str" cm="1">
        <f t="array" ref="M36">IFERROR(INDEX(FORECAST!$D$12:$D$475, MATCH(1, INDEX((ISNUMBER(SEARCH($B36, FORECAST!$A$12:$A$475))) * (INT(FORECAST!$B$12:$B$475) &lt;= M$34) * (INT(FORECAST!$C$12:$C$475) &gt;= M$34), 0), 0)), "")</f>
        <v>Garantizado</v>
      </c>
      <c r="N36" s="23" t="str" cm="1">
        <f t="array" ref="N36">IFERROR(INDEX(FORECAST!$D$12:$D$475, MATCH(1, INDEX((ISNUMBER(SEARCH($B36, FORECAST!$A$12:$A$475))) * (INT(FORECAST!$B$12:$B$475) &lt;= N$34) * (INT(FORECAST!$C$12:$C$475) &gt;= N$34), 0), 0)), "")</f>
        <v/>
      </c>
      <c r="O36" s="23" t="str" cm="1">
        <f t="array" ref="O36">IFERROR(INDEX(FORECAST!$D$12:$D$475, MATCH(1, INDEX((ISNUMBER(SEARCH($B36, FORECAST!$A$12:$A$475))) * (INT(FORECAST!$B$12:$B$475) &lt;= O$34) * (INT(FORECAST!$C$12:$C$475) &gt;= O$34), 0), 0)), "")</f>
        <v/>
      </c>
      <c r="P36" s="23" t="str" cm="1">
        <f t="array" ref="P36">IFERROR(INDEX(FORECAST!$D$12:$D$475, MATCH(1, INDEX((ISNUMBER(SEARCH($B36, FORECAST!$A$12:$A$475))) * (INT(FORECAST!$B$12:$B$475) &lt;= P$34) * (INT(FORECAST!$C$12:$C$475) &gt;= P$34), 0), 0)), "")</f>
        <v/>
      </c>
      <c r="Q36" s="23" t="str" cm="1">
        <f t="array" ref="Q36">IFERROR(INDEX(FORECAST!$D$12:$D$475, MATCH(1, INDEX((ISNUMBER(SEARCH($B36, FORECAST!$A$12:$A$475))) * (INT(FORECAST!$B$12:$B$475) &lt;= Q$34) * (INT(FORECAST!$C$12:$C$475) &gt;= Q$34), 0), 0)), "")</f>
        <v/>
      </c>
      <c r="R36" s="23" t="str" cm="1">
        <f t="array" ref="R36">IFERROR(INDEX(FORECAST!$D$12:$D$475, MATCH(1, INDEX((ISNUMBER(SEARCH($B36, FORECAST!$A$12:$A$475))) * (INT(FORECAST!$B$12:$B$475) &lt;= R$34) * (INT(FORECAST!$C$12:$C$475) &gt;= R$34), 0), 0)), "")</f>
        <v/>
      </c>
      <c r="S36" s="23" t="str" cm="1">
        <f t="array" ref="S36">IFERROR(INDEX(FORECAST!$D$12:$D$475, MATCH(1, INDEX((ISNUMBER(SEARCH($B36, FORECAST!$A$12:$A$475))) * (INT(FORECAST!$B$12:$B$475) &lt;= S$34) * (INT(FORECAST!$C$12:$C$475) &gt;= S$34), 0), 0)), "")</f>
        <v>Garantizado</v>
      </c>
      <c r="T36" s="23" t="str" cm="1">
        <f t="array" ref="T36">IFERROR(INDEX(FORECAST!$D$12:$D$475, MATCH(1, INDEX((ISNUMBER(SEARCH($B36, FORECAST!$A$12:$A$475))) * (INT(FORECAST!$B$12:$B$475) &lt;= T$34) * (INT(FORECAST!$C$12:$C$475) &gt;= T$34), 0), 0)), "")</f>
        <v>Garantizado</v>
      </c>
      <c r="U36" s="23" t="str" cm="1">
        <f t="array" ref="U36">IFERROR(INDEX(FORECAST!$D$12:$D$475, MATCH(1, INDEX((ISNUMBER(SEARCH($B36, FORECAST!$A$12:$A$475))) * (INT(FORECAST!$B$12:$B$475) &lt;= U$34) * (INT(FORECAST!$C$12:$C$475) &gt;= U$34), 0), 0)), "")</f>
        <v>Garantizado</v>
      </c>
      <c r="V36" s="23" t="str" cm="1">
        <f t="array" ref="V36">IFERROR(INDEX(FORECAST!$D$12:$D$475, MATCH(1, INDEX((ISNUMBER(SEARCH($B36, FORECAST!$A$12:$A$475))) * (INT(FORECAST!$B$12:$B$475) &lt;= V$34) * (INT(FORECAST!$C$12:$C$475) &gt;= V$34), 0), 0)), "")</f>
        <v/>
      </c>
      <c r="W36" s="23" t="str" cm="1">
        <f t="array" ref="W36">IFERROR(INDEX(FORECAST!$D$12:$D$475, MATCH(1, INDEX((ISNUMBER(SEARCH($B36, FORECAST!$A$12:$A$475))) * (INT(FORECAST!$B$12:$B$475) &lt;= W$34) * (INT(FORECAST!$C$12:$C$475) &gt;= W$34), 0), 0)), "")</f>
        <v/>
      </c>
      <c r="X36" s="23" t="str" cm="1">
        <f t="array" ref="X36">IFERROR(INDEX(FORECAST!$D$12:$D$475, MATCH(1, INDEX((ISNUMBER(SEARCH($B36, FORECAST!$A$12:$A$475))) * (INT(FORECAST!$B$12:$B$475) &lt;= X$34) * (INT(FORECAST!$C$12:$C$475) &gt;= X$34), 0), 0)), "")</f>
        <v/>
      </c>
      <c r="Y36" s="23" t="str" cm="1">
        <f t="array" ref="Y36">IFERROR(INDEX(FORECAST!$D$12:$D$475, MATCH(1, INDEX((ISNUMBER(SEARCH($B36, FORECAST!$A$12:$A$475))) * (INT(FORECAST!$B$12:$B$475) &lt;= Y$34) * (INT(FORECAST!$C$12:$C$475) &gt;= Y$34), 0), 0)), "")</f>
        <v/>
      </c>
      <c r="Z36" s="23" t="str" cm="1">
        <f t="array" ref="Z36">IFERROR(INDEX(FORECAST!$D$12:$D$475, MATCH(1, INDEX((ISNUMBER(SEARCH($B36, FORECAST!$A$12:$A$475))) * (INT(FORECAST!$B$12:$B$475) &lt;= Z$34) * (INT(FORECAST!$C$12:$C$475) &gt;= Z$34), 0), 0)), "")</f>
        <v/>
      </c>
      <c r="AA36" s="23" t="str" cm="1">
        <f t="array" ref="AA36">IFERROR(INDEX(FORECAST!$D$12:$D$475, MATCH(1, INDEX((ISNUMBER(SEARCH($B36, FORECAST!$A$12:$A$475))) * (INT(FORECAST!$B$12:$B$475) &lt;= AA$34) * (INT(FORECAST!$C$12:$C$475) &gt;= AA$34), 0), 0)), "")</f>
        <v>Garantizado</v>
      </c>
      <c r="AB36" s="23" t="str" cm="1">
        <f t="array" ref="AB36">IFERROR(INDEX(FORECAST!$D$12:$D$475, MATCH(1, INDEX((ISNUMBER(SEARCH($B36, FORECAST!$A$12:$A$475))) * (INT(FORECAST!$B$12:$B$475) &lt;= AB$34) * (INT(FORECAST!$C$12:$C$475) &gt;= AB$34), 0), 0)), "")</f>
        <v/>
      </c>
      <c r="AC36" s="23" t="str" cm="1">
        <f t="array" ref="AC36">IFERROR(INDEX(FORECAST!$D$12:$D$475, MATCH(1, INDEX((ISNUMBER(SEARCH($B36, FORECAST!$A$12:$A$475))) * (INT(FORECAST!$B$12:$B$475) &lt;= AC$34) * (INT(FORECAST!$C$12:$C$475) &gt;= AC$34), 0), 0)), "")</f>
        <v>Garantizado</v>
      </c>
      <c r="AD36" s="23" t="str" cm="1">
        <f t="array" ref="AD36">IFERROR(INDEX(FORECAST!$D$12:$D$475, MATCH(1, INDEX((ISNUMBER(SEARCH($B36, FORECAST!$A$12:$A$475))) * (INT(FORECAST!$B$12:$B$475) &lt;= AD$34) * (INT(FORECAST!$C$12:$C$475) &gt;= AD$34), 0), 0)), "")</f>
        <v>Garantizado</v>
      </c>
      <c r="AE36" s="23" t="str" cm="1">
        <f t="array" ref="AE36">IFERROR(INDEX(FORECAST!$D$12:$D$475, MATCH(1, INDEX((ISNUMBER(SEARCH($B36, FORECAST!$A$12:$A$475))) * (INT(FORECAST!$B$12:$B$475) &lt;= AE$34) * (INT(FORECAST!$C$12:$C$475) &gt;= AE$34), 0), 0)), "")</f>
        <v>Garantizado</v>
      </c>
      <c r="AF36" s="23" t="str" cm="1">
        <f t="array" ref="AF36">IFERROR(INDEX(FORECAST!$D$12:$D$475, MATCH(1, INDEX((ISNUMBER(SEARCH($B36, FORECAST!$A$12:$A$475))) * (INT(FORECAST!$B$12:$B$475) &lt;= AF$34) * (INT(FORECAST!$C$12:$C$475) &gt;= AF$34), 0), 0)), "")</f>
        <v/>
      </c>
      <c r="AG36" s="23" t="str" cm="1">
        <f t="array" ref="AG36">IFERROR(INDEX(FORECAST!$D$12:$D$475, MATCH(1, INDEX((ISNUMBER(SEARCH($B36, FORECAST!$A$12:$A$475))) * (INT(FORECAST!$B$12:$B$475) &lt;= AG$34) * (INT(FORECAST!$C$12:$C$475) &gt;= AG$34), 0), 0)), "")</f>
        <v/>
      </c>
      <c r="AH36" s="1"/>
      <c r="AI36" s="2"/>
      <c r="AJ36" s="45">
        <f t="shared" ref="AJ36:AJ42" si="2">COUNTIF(C36:AG36,"Garantizado")/31</f>
        <v>0.38709677419354838</v>
      </c>
      <c r="AL36" s="22" t="s">
        <v>520</v>
      </c>
    </row>
    <row r="37" spans="1:38" x14ac:dyDescent="0.25">
      <c r="A37" s="69"/>
      <c r="B37" s="25" t="s">
        <v>279</v>
      </c>
      <c r="C37" s="23" t="str" cm="1">
        <f t="array" ref="C37">IFERROR(INDEX(FORECAST!$D$12:$D$475, MATCH(1, INDEX((ISNUMBER(SEARCH($B37, FORECAST!$A$12:$A$475))) * (INT(FORECAST!$B$12:$B$475) &lt;= C$34) * (INT(FORECAST!$C$12:$C$475) &gt;= C$34), 0), 0)), "")</f>
        <v/>
      </c>
      <c r="D37" s="23" t="str" cm="1">
        <f t="array" ref="D37">IFERROR(INDEX(FORECAST!$D$12:$D$475, MATCH(1, INDEX((ISNUMBER(SEARCH($B37, FORECAST!$A$12:$A$475))) * (INT(FORECAST!$B$12:$B$475) &lt;= D$34) * (INT(FORECAST!$C$12:$C$475) &gt;= D$34), 0), 0)), "")</f>
        <v/>
      </c>
      <c r="E37" s="23" t="str" cm="1">
        <f t="array" ref="E37">IFERROR(INDEX(FORECAST!$D$12:$D$475, MATCH(1, INDEX((ISNUMBER(SEARCH($B37, FORECAST!$A$12:$A$475))) * (INT(FORECAST!$B$12:$B$475) &lt;= E$34) * (INT(FORECAST!$C$12:$C$475) &gt;= E$34), 0), 0)), "")</f>
        <v/>
      </c>
      <c r="F37" s="23" t="str" cm="1">
        <f t="array" ref="F37">IFERROR(INDEX(FORECAST!$D$12:$D$475, MATCH(1, INDEX((ISNUMBER(SEARCH($B37, FORECAST!$A$12:$A$475))) * (INT(FORECAST!$B$12:$B$475) &lt;= F$34) * (INT(FORECAST!$C$12:$C$475) &gt;= F$34), 0), 0)), "")</f>
        <v/>
      </c>
      <c r="G37" s="23" t="str" cm="1">
        <f t="array" ref="G37">IFERROR(INDEX(FORECAST!$D$12:$D$475, MATCH(1, INDEX((ISNUMBER(SEARCH($B37, FORECAST!$A$12:$A$475))) * (INT(FORECAST!$B$12:$B$475) &lt;= G$34) * (INT(FORECAST!$C$12:$C$475) &gt;= G$34), 0), 0)), "")</f>
        <v/>
      </c>
      <c r="H37" s="23" t="str" cm="1">
        <f t="array" ref="H37">IFERROR(INDEX(FORECAST!$D$12:$D$475, MATCH(1, INDEX((ISNUMBER(SEARCH($B37, FORECAST!$A$12:$A$475))) * (INT(FORECAST!$B$12:$B$475) &lt;= H$34) * (INT(FORECAST!$C$12:$C$475) &gt;= H$34), 0), 0)), "")</f>
        <v/>
      </c>
      <c r="I37" s="23" t="str" cm="1">
        <f t="array" ref="I37">IFERROR(INDEX(FORECAST!$D$12:$D$475, MATCH(1, INDEX((ISNUMBER(SEARCH($B37, FORECAST!$A$12:$A$475))) * (INT(FORECAST!$B$12:$B$475) &lt;= I$34) * (INT(FORECAST!$C$12:$C$475) &gt;= I$34), 0), 0)), "")</f>
        <v>Garantizado</v>
      </c>
      <c r="J37" s="23" t="str" cm="1">
        <f t="array" ref="J37">IFERROR(INDEX(FORECAST!$D$12:$D$475, MATCH(1, INDEX((ISNUMBER(SEARCH($B37, FORECAST!$A$12:$A$475))) * (INT(FORECAST!$B$12:$B$475) &lt;= J$34) * (INT(FORECAST!$C$12:$C$475) &gt;= J$34), 0), 0)), "")</f>
        <v>Garantizado</v>
      </c>
      <c r="K37" s="23" t="str" cm="1">
        <f t="array" ref="K37">IFERROR(INDEX(FORECAST!$D$12:$D$475, MATCH(1, INDEX((ISNUMBER(SEARCH($B37, FORECAST!$A$12:$A$475))) * (INT(FORECAST!$B$12:$B$475) &lt;= K$34) * (INT(FORECAST!$C$12:$C$475) &gt;= K$34), 0), 0)), "")</f>
        <v>Garantizado</v>
      </c>
      <c r="L37" s="23" t="str" cm="1">
        <f t="array" ref="L37">IFERROR(INDEX(FORECAST!$D$12:$D$475, MATCH(1, INDEX((ISNUMBER(SEARCH($B37, FORECAST!$A$12:$A$475))) * (INT(FORECAST!$B$12:$B$475) &lt;= L$34) * (INT(FORECAST!$C$12:$C$475) &gt;= L$34), 0), 0)), "")</f>
        <v>Garantizado</v>
      </c>
      <c r="M37" s="23" t="str" cm="1">
        <f t="array" ref="M37">IFERROR(INDEX(FORECAST!$D$12:$D$475, MATCH(1, INDEX((ISNUMBER(SEARCH($B37, FORECAST!$A$12:$A$475))) * (INT(FORECAST!$B$12:$B$475) &lt;= M$34) * (INT(FORECAST!$C$12:$C$475) &gt;= M$34), 0), 0)), "")</f>
        <v>Garantizado</v>
      </c>
      <c r="N37" s="23" t="str" cm="1">
        <f t="array" ref="N37">IFERROR(INDEX(FORECAST!$D$12:$D$475, MATCH(1, INDEX((ISNUMBER(SEARCH($B37, FORECAST!$A$12:$A$475))) * (INT(FORECAST!$B$12:$B$475) &lt;= N$34) * (INT(FORECAST!$C$12:$C$475) &gt;= N$34), 0), 0)), "")</f>
        <v/>
      </c>
      <c r="O37" s="23" t="str" cm="1">
        <f t="array" ref="O37">IFERROR(INDEX(FORECAST!$D$12:$D$475, MATCH(1, INDEX((ISNUMBER(SEARCH($B37, FORECAST!$A$12:$A$475))) * (INT(FORECAST!$B$12:$B$475) &lt;= O$34) * (INT(FORECAST!$C$12:$C$475) &gt;= O$34), 0), 0)), "")</f>
        <v/>
      </c>
      <c r="P37" s="23" t="str" cm="1">
        <f t="array" ref="P37">IFERROR(INDEX(FORECAST!$D$12:$D$475, MATCH(1, INDEX((ISNUMBER(SEARCH($B37, FORECAST!$A$12:$A$475))) * (INT(FORECAST!$B$12:$B$475) &lt;= P$34) * (INT(FORECAST!$C$12:$C$475) &gt;= P$34), 0), 0)), "")</f>
        <v/>
      </c>
      <c r="Q37" s="23" t="str" cm="1">
        <f t="array" ref="Q37">IFERROR(INDEX(FORECAST!$D$12:$D$475, MATCH(1, INDEX((ISNUMBER(SEARCH($B37, FORECAST!$A$12:$A$475))) * (INT(FORECAST!$B$12:$B$475) &lt;= Q$34) * (INT(FORECAST!$C$12:$C$475) &gt;= Q$34), 0), 0)), "")</f>
        <v/>
      </c>
      <c r="R37" s="23" t="str" cm="1">
        <f t="array" ref="R37">IFERROR(INDEX(FORECAST!$D$12:$D$475, MATCH(1, INDEX((ISNUMBER(SEARCH($B37, FORECAST!$A$12:$A$475))) * (INT(FORECAST!$B$12:$B$475) &lt;= R$34) * (INT(FORECAST!$C$12:$C$475) &gt;= R$34), 0), 0)), "")</f>
        <v/>
      </c>
      <c r="S37" s="23" t="str" cm="1">
        <f t="array" ref="S37">IFERROR(INDEX(FORECAST!$D$12:$D$475, MATCH(1, INDEX((ISNUMBER(SEARCH($B37, FORECAST!$A$12:$A$475))) * (INT(FORECAST!$B$12:$B$475) &lt;= S$34) * (INT(FORECAST!$C$12:$C$475) &gt;= S$34), 0), 0)), "")</f>
        <v/>
      </c>
      <c r="T37" s="23" t="str" cm="1">
        <f t="array" ref="T37">IFERROR(INDEX(FORECAST!$D$12:$D$475, MATCH(1, INDEX((ISNUMBER(SEARCH($B37, FORECAST!$A$12:$A$475))) * (INT(FORECAST!$B$12:$B$475) &lt;= T$34) * (INT(FORECAST!$C$12:$C$475) &gt;= T$34), 0), 0)), "")</f>
        <v/>
      </c>
      <c r="U37" s="23" t="str" cm="1">
        <f t="array" ref="U37">IFERROR(INDEX(FORECAST!$D$12:$D$475, MATCH(1, INDEX((ISNUMBER(SEARCH($B37, FORECAST!$A$12:$A$475))) * (INT(FORECAST!$B$12:$B$475) &lt;= U$34) * (INT(FORECAST!$C$12:$C$475) &gt;= U$34), 0), 0)), "")</f>
        <v/>
      </c>
      <c r="V37" s="23" t="str" cm="1">
        <f t="array" ref="V37">IFERROR(INDEX(FORECAST!$D$12:$D$475, MATCH(1, INDEX((ISNUMBER(SEARCH($B37, FORECAST!$A$12:$A$475))) * (INT(FORECAST!$B$12:$B$475) &lt;= V$34) * (INT(FORECAST!$C$12:$C$475) &gt;= V$34), 0), 0)), "")</f>
        <v/>
      </c>
      <c r="W37" s="23" t="str" cm="1">
        <f t="array" ref="W37">IFERROR(INDEX(FORECAST!$D$12:$D$475, MATCH(1, INDEX((ISNUMBER(SEARCH($B37, FORECAST!$A$12:$A$475))) * (INT(FORECAST!$B$12:$B$475) &lt;= W$34) * (INT(FORECAST!$C$12:$C$475) &gt;= W$34), 0), 0)), "")</f>
        <v/>
      </c>
      <c r="X37" s="23" t="str" cm="1">
        <f t="array" ref="X37">IFERROR(INDEX(FORECAST!$D$12:$D$475, MATCH(1, INDEX((ISNUMBER(SEARCH($B37, FORECAST!$A$12:$A$475))) * (INT(FORECAST!$B$12:$B$475) &lt;= X$34) * (INT(FORECAST!$C$12:$C$475) &gt;= X$34), 0), 0)), "")</f>
        <v/>
      </c>
      <c r="Y37" s="23" t="str" cm="1">
        <f t="array" ref="Y37">IFERROR(INDEX(FORECAST!$D$12:$D$475, MATCH(1, INDEX((ISNUMBER(SEARCH($B37, FORECAST!$A$12:$A$475))) * (INT(FORECAST!$B$12:$B$475) &lt;= Y$34) * (INT(FORECAST!$C$12:$C$475) &gt;= Y$34), 0), 0)), "")</f>
        <v/>
      </c>
      <c r="Z37" s="23" t="str" cm="1">
        <f t="array" ref="Z37">IFERROR(INDEX(FORECAST!$D$12:$D$475, MATCH(1, INDEX((ISNUMBER(SEARCH($B37, FORECAST!$A$12:$A$475))) * (INT(FORECAST!$B$12:$B$475) &lt;= Z$34) * (INT(FORECAST!$C$12:$C$475) &gt;= Z$34), 0), 0)), "")</f>
        <v>Garantizado</v>
      </c>
      <c r="AA37" s="23" t="str" cm="1">
        <f t="array" ref="AA37">IFERROR(INDEX(FORECAST!$D$12:$D$475, MATCH(1, INDEX((ISNUMBER(SEARCH($B37, FORECAST!$A$12:$A$475))) * (INT(FORECAST!$B$12:$B$475) &lt;= AA$34) * (INT(FORECAST!$C$12:$C$475) &gt;= AA$34), 0), 0)), "")</f>
        <v>Garantizado</v>
      </c>
      <c r="AB37" s="23" t="str" cm="1">
        <f t="array" ref="AB37">IFERROR(INDEX(FORECAST!$D$12:$D$475, MATCH(1, INDEX((ISNUMBER(SEARCH($B37, FORECAST!$A$12:$A$475))) * (INT(FORECAST!$B$12:$B$475) &lt;= AB$34) * (INT(FORECAST!$C$12:$C$475) &gt;= AB$34), 0), 0)), "")</f>
        <v>Garantizado</v>
      </c>
      <c r="AC37" s="23" t="str" cm="1">
        <f t="array" ref="AC37">IFERROR(INDEX(FORECAST!$D$12:$D$475, MATCH(1, INDEX((ISNUMBER(SEARCH($B37, FORECAST!$A$12:$A$475))) * (INT(FORECAST!$B$12:$B$475) &lt;= AC$34) * (INT(FORECAST!$C$12:$C$475) &gt;= AC$34), 0), 0)), "")</f>
        <v>Garantizado</v>
      </c>
      <c r="AD37" s="23" t="str" cm="1">
        <f t="array" ref="AD37">IFERROR(INDEX(FORECAST!$D$12:$D$475, MATCH(1, INDEX((ISNUMBER(SEARCH($B37, FORECAST!$A$12:$A$475))) * (INT(FORECAST!$B$12:$B$475) &lt;= AD$34) * (INT(FORECAST!$C$12:$C$475) &gt;= AD$34), 0), 0)), "")</f>
        <v>Tentativo</v>
      </c>
      <c r="AE37" s="23" t="str" cm="1">
        <f t="array" ref="AE37">IFERROR(INDEX(FORECAST!$D$12:$D$475, MATCH(1, INDEX((ISNUMBER(SEARCH($B37, FORECAST!$A$12:$A$475))) * (INT(FORECAST!$B$12:$B$475) &lt;= AE$34) * (INT(FORECAST!$C$12:$C$475) &gt;= AE$34), 0), 0)), "")</f>
        <v/>
      </c>
      <c r="AF37" s="23" t="str" cm="1">
        <f t="array" ref="AF37">IFERROR(INDEX(FORECAST!$D$12:$D$475, MATCH(1, INDEX((ISNUMBER(SEARCH($B37, FORECAST!$A$12:$A$475))) * (INT(FORECAST!$B$12:$B$475) &lt;= AF$34) * (INT(FORECAST!$C$12:$C$475) &gt;= AF$34), 0), 0)), "")</f>
        <v/>
      </c>
      <c r="AG37" s="23" t="str" cm="1">
        <f t="array" ref="AG37">IFERROR(INDEX(FORECAST!$D$12:$D$475, MATCH(1, INDEX((ISNUMBER(SEARCH($B37, FORECAST!$A$12:$A$475))) * (INT(FORECAST!$B$12:$B$475) &lt;= AG$34) * (INT(FORECAST!$C$12:$C$475) &gt;= AG$34), 0), 0)), "")</f>
        <v/>
      </c>
      <c r="AH37" s="2"/>
      <c r="AI37" s="2"/>
      <c r="AJ37" s="45">
        <f t="shared" si="2"/>
        <v>0.29032258064516131</v>
      </c>
      <c r="AL37" s="50">
        <f>COUNTIF('PLANNING 2026'!C35:AG41,"Garantizado")/COUNTA('PLANNING 2026'!C35:AG41)</f>
        <v>0.38709677419354838</v>
      </c>
    </row>
    <row r="38" spans="1:38" x14ac:dyDescent="0.25">
      <c r="A38" s="69"/>
      <c r="B38" s="25" t="s">
        <v>521</v>
      </c>
      <c r="C38" s="23" t="str" cm="1">
        <f t="array" ref="C38">IFERROR(INDEX(FORECAST!$D$12:$D$475, MATCH(1, INDEX((ISNUMBER(SEARCH($B38, FORECAST!$A$12:$A$475))) * (INT(FORECAST!$B$12:$B$475) &lt;= C$34) * (INT(FORECAST!$C$12:$C$475) &gt;= C$34), 0), 0)), "")</f>
        <v/>
      </c>
      <c r="D38" s="23" t="str" cm="1">
        <f t="array" ref="D38">IFERROR(INDEX(FORECAST!$D$12:$D$475, MATCH(1, INDEX((ISNUMBER(SEARCH($B38, FORECAST!$A$12:$A$475))) * (INT(FORECAST!$B$12:$B$475) &lt;= D$34) * (INT(FORECAST!$C$12:$C$475) &gt;= D$34), 0), 0)), "")</f>
        <v/>
      </c>
      <c r="E38" s="23" t="str" cm="1">
        <f t="array" ref="E38">IFERROR(INDEX(FORECAST!$D$12:$D$475, MATCH(1, INDEX((ISNUMBER(SEARCH($B38, FORECAST!$A$12:$A$475))) * (INT(FORECAST!$B$12:$B$475) &lt;= E$34) * (INT(FORECAST!$C$12:$C$475) &gt;= E$34), 0), 0)), "")</f>
        <v/>
      </c>
      <c r="F38" s="23" t="str" cm="1">
        <f t="array" ref="F38">IFERROR(INDEX(FORECAST!$D$12:$D$475, MATCH(1, INDEX((ISNUMBER(SEARCH($B38, FORECAST!$A$12:$A$475))) * (INT(FORECAST!$B$12:$B$475) &lt;= F$34) * (INT(FORECAST!$C$12:$C$475) &gt;= F$34), 0), 0)), "")</f>
        <v/>
      </c>
      <c r="G38" s="23" t="str" cm="1">
        <f t="array" ref="G38">IFERROR(INDEX(FORECAST!$D$12:$D$475, MATCH(1, INDEX((ISNUMBER(SEARCH($B38, FORECAST!$A$12:$A$475))) * (INT(FORECAST!$B$12:$B$475) &lt;= G$34) * (INT(FORECAST!$C$12:$C$475) &gt;= G$34), 0), 0)), "")</f>
        <v/>
      </c>
      <c r="H38" s="23" t="str" cm="1">
        <f t="array" ref="H38">IFERROR(INDEX(FORECAST!$D$12:$D$475, MATCH(1, INDEX((ISNUMBER(SEARCH($B38, FORECAST!$A$12:$A$475))) * (INT(FORECAST!$B$12:$B$475) &lt;= H$34) * (INT(FORECAST!$C$12:$C$475) &gt;= H$34), 0), 0)), "")</f>
        <v/>
      </c>
      <c r="I38" s="23" t="str" cm="1">
        <f t="array" ref="I38">IFERROR(INDEX(FORECAST!$D$12:$D$475, MATCH(1, INDEX((ISNUMBER(SEARCH($B38, FORECAST!$A$12:$A$475))) * (INT(FORECAST!$B$12:$B$475) &lt;= I$34) * (INT(FORECAST!$C$12:$C$475) &gt;= I$34), 0), 0)), "")</f>
        <v>Garantizado</v>
      </c>
      <c r="J38" s="23" t="str" cm="1">
        <f t="array" ref="J38">IFERROR(INDEX(FORECAST!$D$12:$D$475, MATCH(1, INDEX((ISNUMBER(SEARCH($B38, FORECAST!$A$12:$A$475))) * (INT(FORECAST!$B$12:$B$475) &lt;= J$34) * (INT(FORECAST!$C$12:$C$475) &gt;= J$34), 0), 0)), "")</f>
        <v>Garantizado</v>
      </c>
      <c r="K38" s="23" t="str" cm="1">
        <f t="array" ref="K38">IFERROR(INDEX(FORECAST!$D$12:$D$475, MATCH(1, INDEX((ISNUMBER(SEARCH($B38, FORECAST!$A$12:$A$475))) * (INT(FORECAST!$B$12:$B$475) &lt;= K$34) * (INT(FORECAST!$C$12:$C$475) &gt;= K$34), 0), 0)), "")</f>
        <v>Garantizado</v>
      </c>
      <c r="L38" s="23" t="str" cm="1">
        <f t="array" ref="L38">IFERROR(INDEX(FORECAST!$D$12:$D$475, MATCH(1, INDEX((ISNUMBER(SEARCH($B38, FORECAST!$A$12:$A$475))) * (INT(FORECAST!$B$12:$B$475) &lt;= L$34) * (INT(FORECAST!$C$12:$C$475) &gt;= L$34), 0), 0)), "")</f>
        <v>Garantizado</v>
      </c>
      <c r="M38" s="23" t="str" cm="1">
        <f t="array" ref="M38">IFERROR(INDEX(FORECAST!$D$12:$D$475, MATCH(1, INDEX((ISNUMBER(SEARCH($B38, FORECAST!$A$12:$A$475))) * (INT(FORECAST!$B$12:$B$475) &lt;= M$34) * (INT(FORECAST!$C$12:$C$475) &gt;= M$34), 0), 0)), "")</f>
        <v>Garantizado</v>
      </c>
      <c r="N38" s="23" t="str" cm="1">
        <f t="array" ref="N38">IFERROR(INDEX(FORECAST!$D$12:$D$475, MATCH(1, INDEX((ISNUMBER(SEARCH($B38, FORECAST!$A$12:$A$475))) * (INT(FORECAST!$B$12:$B$475) &lt;= N$34) * (INT(FORECAST!$C$12:$C$475) &gt;= N$34), 0), 0)), "")</f>
        <v>Garantizado</v>
      </c>
      <c r="O38" s="23" t="str" cm="1">
        <f t="array" ref="O38">IFERROR(INDEX(FORECAST!$D$12:$D$475, MATCH(1, INDEX((ISNUMBER(SEARCH($B38, FORECAST!$A$12:$A$475))) * (INT(FORECAST!$B$12:$B$475) &lt;= O$34) * (INT(FORECAST!$C$12:$C$475) &gt;= O$34), 0), 0)), "")</f>
        <v/>
      </c>
      <c r="P38" s="23" t="str" cm="1">
        <f t="array" ref="P38">IFERROR(INDEX(FORECAST!$D$12:$D$475, MATCH(1, INDEX((ISNUMBER(SEARCH($B38, FORECAST!$A$12:$A$475))) * (INT(FORECAST!$B$12:$B$475) &lt;= P$34) * (INT(FORECAST!$C$12:$C$475) &gt;= P$34), 0), 0)), "")</f>
        <v/>
      </c>
      <c r="Q38" s="23" t="str" cm="1">
        <f t="array" ref="Q38">IFERROR(INDEX(FORECAST!$D$12:$D$475, MATCH(1, INDEX((ISNUMBER(SEARCH($B38, FORECAST!$A$12:$A$475))) * (INT(FORECAST!$B$12:$B$475) &lt;= Q$34) * (INT(FORECAST!$C$12:$C$475) &gt;= Q$34), 0), 0)), "")</f>
        <v/>
      </c>
      <c r="R38" s="23" t="str" cm="1">
        <f t="array" ref="R38">IFERROR(INDEX(FORECAST!$D$12:$D$475, MATCH(1, INDEX((ISNUMBER(SEARCH($B38, FORECAST!$A$12:$A$475))) * (INT(FORECAST!$B$12:$B$475) &lt;= R$34) * (INT(FORECAST!$C$12:$C$475) &gt;= R$34), 0), 0)), "")</f>
        <v>Tentativo</v>
      </c>
      <c r="S38" s="23" t="str" cm="1">
        <f t="array" ref="S38">IFERROR(INDEX(FORECAST!$D$12:$D$475, MATCH(1, INDEX((ISNUMBER(SEARCH($B38, FORECAST!$A$12:$A$475))) * (INT(FORECAST!$B$12:$B$475) &lt;= S$34) * (INT(FORECAST!$C$12:$C$475) &gt;= S$34), 0), 0)), "")</f>
        <v>Garantizado</v>
      </c>
      <c r="T38" s="23" t="str" cm="1">
        <f t="array" ref="T38">IFERROR(INDEX(FORECAST!$D$12:$D$475, MATCH(1, INDEX((ISNUMBER(SEARCH($B38, FORECAST!$A$12:$A$475))) * (INT(FORECAST!$B$12:$B$475) &lt;= T$34) * (INT(FORECAST!$C$12:$C$475) &gt;= T$34), 0), 0)), "")</f>
        <v>Garantizado</v>
      </c>
      <c r="U38" s="23" t="str" cm="1">
        <f t="array" ref="U38">IFERROR(INDEX(FORECAST!$D$12:$D$475, MATCH(1, INDEX((ISNUMBER(SEARCH($B38, FORECAST!$A$12:$A$475))) * (INT(FORECAST!$B$12:$B$475) &lt;= U$34) * (INT(FORECAST!$C$12:$C$475) &gt;= U$34), 0), 0)), "")</f>
        <v>Garantizado</v>
      </c>
      <c r="V38" s="23" t="str" cm="1">
        <f t="array" ref="V38">IFERROR(INDEX(FORECAST!$D$12:$D$475, MATCH(1, INDEX((ISNUMBER(SEARCH($B38, FORECAST!$A$12:$A$475))) * (INT(FORECAST!$B$12:$B$475) &lt;= V$34) * (INT(FORECAST!$C$12:$C$475) &gt;= V$34), 0), 0)), "")</f>
        <v/>
      </c>
      <c r="W38" s="23" t="str" cm="1">
        <f t="array" ref="W38">IFERROR(INDEX(FORECAST!$D$12:$D$475, MATCH(1, INDEX((ISNUMBER(SEARCH($B38, FORECAST!$A$12:$A$475))) * (INT(FORECAST!$B$12:$B$475) &lt;= W$34) * (INT(FORECAST!$C$12:$C$475) &gt;= W$34), 0), 0)), "")</f>
        <v/>
      </c>
      <c r="X38" s="23" t="str" cm="1">
        <f t="array" ref="X38">IFERROR(INDEX(FORECAST!$D$12:$D$475, MATCH(1, INDEX((ISNUMBER(SEARCH($B38, FORECAST!$A$12:$A$475))) * (INT(FORECAST!$B$12:$B$475) &lt;= X$34) * (INT(FORECAST!$C$12:$C$475) &gt;= X$34), 0), 0)), "")</f>
        <v/>
      </c>
      <c r="Y38" s="23" t="str" cm="1">
        <f t="array" ref="Y38">IFERROR(INDEX(FORECAST!$D$12:$D$475, MATCH(1, INDEX((ISNUMBER(SEARCH($B38, FORECAST!$A$12:$A$475))) * (INT(FORECAST!$B$12:$B$475) &lt;= Y$34) * (INT(FORECAST!$C$12:$C$475) &gt;= Y$34), 0), 0)), "")</f>
        <v>Garantizado</v>
      </c>
      <c r="Z38" s="23" t="str" cm="1">
        <f t="array" ref="Z38">IFERROR(INDEX(FORECAST!$D$12:$D$475, MATCH(1, INDEX((ISNUMBER(SEARCH($B38, FORECAST!$A$12:$A$475))) * (INT(FORECAST!$B$12:$B$475) &lt;= Z$34) * (INT(FORECAST!$C$12:$C$475) &gt;= Z$34), 0), 0)), "")</f>
        <v>Garantizado</v>
      </c>
      <c r="AA38" s="23" t="str" cm="1">
        <f t="array" ref="AA38">IFERROR(INDEX(FORECAST!$D$12:$D$475, MATCH(1, INDEX((ISNUMBER(SEARCH($B38, FORECAST!$A$12:$A$475))) * (INT(FORECAST!$B$12:$B$475) &lt;= AA$34) * (INT(FORECAST!$C$12:$C$475) &gt;= AA$34), 0), 0)), "")</f>
        <v>Garantizado</v>
      </c>
      <c r="AB38" s="23" t="str" cm="1">
        <f t="array" ref="AB38">IFERROR(INDEX(FORECAST!$D$12:$D$475, MATCH(1, INDEX((ISNUMBER(SEARCH($B38, FORECAST!$A$12:$A$475))) * (INT(FORECAST!$B$12:$B$475) &lt;= AB$34) * (INT(FORECAST!$C$12:$C$475) &gt;= AB$34), 0), 0)), "")</f>
        <v>Garantizado</v>
      </c>
      <c r="AC38" s="23" t="str" cm="1">
        <f t="array" ref="AC38">IFERROR(INDEX(FORECAST!$D$12:$D$475, MATCH(1, INDEX((ISNUMBER(SEARCH($B38, FORECAST!$A$12:$A$475))) * (INT(FORECAST!$B$12:$B$475) &lt;= AC$34) * (INT(FORECAST!$C$12:$C$475) &gt;= AC$34), 0), 0)), "")</f>
        <v>Garantizado</v>
      </c>
      <c r="AD38" s="23" t="str" cm="1">
        <f t="array" ref="AD38">IFERROR(INDEX(FORECAST!$D$12:$D$475, MATCH(1, INDEX((ISNUMBER(SEARCH($B38, FORECAST!$A$12:$A$475))) * (INT(FORECAST!$B$12:$B$475) &lt;= AD$34) * (INT(FORECAST!$C$12:$C$475) &gt;= AD$34), 0), 0)), "")</f>
        <v/>
      </c>
      <c r="AE38" s="23" t="str" cm="1">
        <f t="array" ref="AE38">IFERROR(INDEX(FORECAST!$D$12:$D$475, MATCH(1, INDEX((ISNUMBER(SEARCH($B38, FORECAST!$A$12:$A$475))) * (INT(FORECAST!$B$12:$B$475) &lt;= AE$34) * (INT(FORECAST!$C$12:$C$475) &gt;= AE$34), 0), 0)), "")</f>
        <v/>
      </c>
      <c r="AF38" s="23" t="str" cm="1">
        <f t="array" ref="AF38">IFERROR(INDEX(FORECAST!$D$12:$D$475, MATCH(1, INDEX((ISNUMBER(SEARCH($B38, FORECAST!$A$12:$A$475))) * (INT(FORECAST!$B$12:$B$475) &lt;= AF$34) * (INT(FORECAST!$C$12:$C$475) &gt;= AF$34), 0), 0)), "")</f>
        <v/>
      </c>
      <c r="AG38" s="23" t="str" cm="1">
        <f t="array" ref="AG38">IFERROR(INDEX(FORECAST!$D$12:$D$475, MATCH(1, INDEX((ISNUMBER(SEARCH($B38, FORECAST!$A$12:$A$475))) * (INT(FORECAST!$B$12:$B$475) &lt;= AG$34) * (INT(FORECAST!$C$12:$C$475) &gt;= AG$34), 0), 0)), "")</f>
        <v/>
      </c>
      <c r="AH38" s="9"/>
      <c r="AI38" s="2"/>
      <c r="AJ38" s="45">
        <f t="shared" si="2"/>
        <v>0.45161290322580644</v>
      </c>
    </row>
    <row r="39" spans="1:38" x14ac:dyDescent="0.25">
      <c r="A39" s="69"/>
      <c r="B39" s="25" t="s">
        <v>522</v>
      </c>
      <c r="C39" s="23" t="str" cm="1">
        <f t="array" ref="C39">IFERROR(INDEX(FORECAST!$D$12:$D$475, MATCH(1, INDEX((ISNUMBER(SEARCH($B39, FORECAST!$A$12:$A$475))) * (INT(FORECAST!$B$12:$B$475) &lt;= C$34) * (INT(FORECAST!$C$12:$C$475) &gt;= C$34), 0), 0)), "")</f>
        <v/>
      </c>
      <c r="D39" s="23" t="str" cm="1">
        <f t="array" ref="D39">IFERROR(INDEX(FORECAST!$D$12:$D$475, MATCH(1, INDEX((ISNUMBER(SEARCH($B39, FORECAST!$A$12:$A$475))) * (INT(FORECAST!$B$12:$B$475) &lt;= D$34) * (INT(FORECAST!$C$12:$C$475) &gt;= D$34), 0), 0)), "")</f>
        <v/>
      </c>
      <c r="E39" s="23" t="str" cm="1">
        <f t="array" ref="E39">IFERROR(INDEX(FORECAST!$D$12:$D$475, MATCH(1, INDEX((ISNUMBER(SEARCH($B39, FORECAST!$A$12:$A$475))) * (INT(FORECAST!$B$12:$B$475) &lt;= E$34) * (INT(FORECAST!$C$12:$C$475) &gt;= E$34), 0), 0)), "")</f>
        <v/>
      </c>
      <c r="F39" s="23" t="str" cm="1">
        <f t="array" ref="F39">IFERROR(INDEX(FORECAST!$D$12:$D$475, MATCH(1, INDEX((ISNUMBER(SEARCH($B39, FORECAST!$A$12:$A$475))) * (INT(FORECAST!$B$12:$B$475) &lt;= F$34) * (INT(FORECAST!$C$12:$C$475) &gt;= F$34), 0), 0)), "")</f>
        <v/>
      </c>
      <c r="G39" s="23" t="str" cm="1">
        <f t="array" ref="G39">IFERROR(INDEX(FORECAST!$D$12:$D$475, MATCH(1, INDEX((ISNUMBER(SEARCH($B39, FORECAST!$A$12:$A$475))) * (INT(FORECAST!$B$12:$B$475) &lt;= G$34) * (INT(FORECAST!$C$12:$C$475) &gt;= G$34), 0), 0)), "")</f>
        <v>Garantizado</v>
      </c>
      <c r="H39" s="23" t="str" cm="1">
        <f t="array" ref="H39">IFERROR(INDEX(FORECAST!$D$12:$D$475, MATCH(1, INDEX((ISNUMBER(SEARCH($B39, FORECAST!$A$12:$A$475))) * (INT(FORECAST!$B$12:$B$475) &lt;= H$34) * (INT(FORECAST!$C$12:$C$475) &gt;= H$34), 0), 0)), "")</f>
        <v>Garantizado</v>
      </c>
      <c r="I39" s="23" t="str" cm="1">
        <f t="array" ref="I39">IFERROR(INDEX(FORECAST!$D$12:$D$475, MATCH(1, INDEX((ISNUMBER(SEARCH($B39, FORECAST!$A$12:$A$475))) * (INT(FORECAST!$B$12:$B$475) &lt;= I$34) * (INT(FORECAST!$C$12:$C$475) &gt;= I$34), 0), 0)), "")</f>
        <v>Garantizado</v>
      </c>
      <c r="J39" s="23" t="str" cm="1">
        <f t="array" ref="J39">IFERROR(INDEX(FORECAST!$D$12:$D$475, MATCH(1, INDEX((ISNUMBER(SEARCH($B39, FORECAST!$A$12:$A$475))) * (INT(FORECAST!$B$12:$B$475) &lt;= J$34) * (INT(FORECAST!$C$12:$C$475) &gt;= J$34), 0), 0)), "")</f>
        <v>Garantizado</v>
      </c>
      <c r="K39" s="23" t="str" cm="1">
        <f t="array" ref="K39">IFERROR(INDEX(FORECAST!$D$12:$D$475, MATCH(1, INDEX((ISNUMBER(SEARCH($B39, FORECAST!$A$12:$A$475))) * (INT(FORECAST!$B$12:$B$475) &lt;= K$34) * (INT(FORECAST!$C$12:$C$475) &gt;= K$34), 0), 0)), "")</f>
        <v>Garantizado</v>
      </c>
      <c r="L39" s="23" t="str" cm="1">
        <f t="array" ref="L39">IFERROR(INDEX(FORECAST!$D$12:$D$475, MATCH(1, INDEX((ISNUMBER(SEARCH($B39, FORECAST!$A$12:$A$475))) * (INT(FORECAST!$B$12:$B$475) &lt;= L$34) * (INT(FORECAST!$C$12:$C$475) &gt;= L$34), 0), 0)), "")</f>
        <v>Garantizado</v>
      </c>
      <c r="M39" s="23" t="str" cm="1">
        <f t="array" ref="M39">IFERROR(INDEX(FORECAST!$D$12:$D$475, MATCH(1, INDEX((ISNUMBER(SEARCH($B39, FORECAST!$A$12:$A$475))) * (INT(FORECAST!$B$12:$B$475) &lt;= M$34) * (INT(FORECAST!$C$12:$C$475) &gt;= M$34), 0), 0)), "")</f>
        <v>Garantizado</v>
      </c>
      <c r="N39" s="23" t="str" cm="1">
        <f t="array" ref="N39">IFERROR(INDEX(FORECAST!$D$12:$D$475, MATCH(1, INDEX((ISNUMBER(SEARCH($B39, FORECAST!$A$12:$A$475))) * (INT(FORECAST!$B$12:$B$475) &lt;= N$34) * (INT(FORECAST!$C$12:$C$475) &gt;= N$34), 0), 0)), "")</f>
        <v>Garantizado</v>
      </c>
      <c r="O39" s="23" t="str" cm="1">
        <f t="array" ref="O39">IFERROR(INDEX(FORECAST!$D$12:$D$475, MATCH(1, INDEX((ISNUMBER(SEARCH($B39, FORECAST!$A$12:$A$475))) * (INT(FORECAST!$B$12:$B$475) &lt;= O$34) * (INT(FORECAST!$C$12:$C$475) &gt;= O$34), 0), 0)), "")</f>
        <v/>
      </c>
      <c r="P39" s="23" t="str" cm="1">
        <f t="array" ref="P39">IFERROR(INDEX(FORECAST!$D$12:$D$475, MATCH(1, INDEX((ISNUMBER(SEARCH($B39, FORECAST!$A$12:$A$475))) * (INT(FORECAST!$B$12:$B$475) &lt;= P$34) * (INT(FORECAST!$C$12:$C$475) &gt;= P$34), 0), 0)), "")</f>
        <v/>
      </c>
      <c r="Q39" s="23" t="str" cm="1">
        <f t="array" ref="Q39">IFERROR(INDEX(FORECAST!$D$12:$D$475, MATCH(1, INDEX((ISNUMBER(SEARCH($B39, FORECAST!$A$12:$A$475))) * (INT(FORECAST!$B$12:$B$475) &lt;= Q$34) * (INT(FORECAST!$C$12:$C$475) &gt;= Q$34), 0), 0)), "")</f>
        <v/>
      </c>
      <c r="R39" s="23" t="str" cm="1">
        <f t="array" ref="R39">IFERROR(INDEX(FORECAST!$D$12:$D$475, MATCH(1, INDEX((ISNUMBER(SEARCH($B39, FORECAST!$A$12:$A$475))) * (INT(FORECAST!$B$12:$B$475) &lt;= R$34) * (INT(FORECAST!$C$12:$C$475) &gt;= R$34), 0), 0)), "")</f>
        <v>Tentativo</v>
      </c>
      <c r="S39" s="23" t="str" cm="1">
        <f t="array" ref="S39">IFERROR(INDEX(FORECAST!$D$12:$D$475, MATCH(1, INDEX((ISNUMBER(SEARCH($B39, FORECAST!$A$12:$A$475))) * (INT(FORECAST!$B$12:$B$475) &lt;= S$34) * (INT(FORECAST!$C$12:$C$475) &gt;= S$34), 0), 0)), "")</f>
        <v>Garantizado</v>
      </c>
      <c r="T39" s="23" t="str" cm="1">
        <f t="array" ref="T39">IFERROR(INDEX(FORECAST!$D$12:$D$475, MATCH(1, INDEX((ISNUMBER(SEARCH($B39, FORECAST!$A$12:$A$475))) * (INT(FORECAST!$B$12:$B$475) &lt;= T$34) * (INT(FORECAST!$C$12:$C$475) &gt;= T$34), 0), 0)), "")</f>
        <v>Garantizado</v>
      </c>
      <c r="U39" s="23" t="str" cm="1">
        <f t="array" ref="U39">IFERROR(INDEX(FORECAST!$D$12:$D$475, MATCH(1, INDEX((ISNUMBER(SEARCH($B39, FORECAST!$A$12:$A$475))) * (INT(FORECAST!$B$12:$B$475) &lt;= U$34) * (INT(FORECAST!$C$12:$C$475) &gt;= U$34), 0), 0)), "")</f>
        <v>Garantizado</v>
      </c>
      <c r="V39" s="23" t="str" cm="1">
        <f t="array" ref="V39">IFERROR(INDEX(FORECAST!$D$12:$D$475, MATCH(1, INDEX((ISNUMBER(SEARCH($B39, FORECAST!$A$12:$A$475))) * (INT(FORECAST!$B$12:$B$475) &lt;= V$34) * (INT(FORECAST!$C$12:$C$475) &gt;= V$34), 0), 0)), "")</f>
        <v>Garantizado</v>
      </c>
      <c r="W39" s="23" t="str" cm="1">
        <f t="array" ref="W39">IFERROR(INDEX(FORECAST!$D$12:$D$475, MATCH(1, INDEX((ISNUMBER(SEARCH($B39, FORECAST!$A$12:$A$475))) * (INT(FORECAST!$B$12:$B$475) &lt;= W$34) * (INT(FORECAST!$C$12:$C$475) &gt;= W$34), 0), 0)), "")</f>
        <v>Garantizado</v>
      </c>
      <c r="X39" s="23" t="str" cm="1">
        <f t="array" ref="X39">IFERROR(INDEX(FORECAST!$D$12:$D$475, MATCH(1, INDEX((ISNUMBER(SEARCH($B39, FORECAST!$A$12:$A$475))) * (INT(FORECAST!$B$12:$B$475) &lt;= X$34) * (INT(FORECAST!$C$12:$C$475) &gt;= X$34), 0), 0)), "")</f>
        <v>Garantizado</v>
      </c>
      <c r="Y39" s="23" t="str" cm="1">
        <f t="array" ref="Y39">IFERROR(INDEX(FORECAST!$D$12:$D$475, MATCH(1, INDEX((ISNUMBER(SEARCH($B39, FORECAST!$A$12:$A$475))) * (INT(FORECAST!$B$12:$B$475) &lt;= Y$34) * (INT(FORECAST!$C$12:$C$475) &gt;= Y$34), 0), 0)), "")</f>
        <v>Garantizado</v>
      </c>
      <c r="Z39" s="23" t="str" cm="1">
        <f t="array" ref="Z39">IFERROR(INDEX(FORECAST!$D$12:$D$475, MATCH(1, INDEX((ISNUMBER(SEARCH($B39, FORECAST!$A$12:$A$475))) * (INT(FORECAST!$B$12:$B$475) &lt;= Z$34) * (INT(FORECAST!$C$12:$C$475) &gt;= Z$34), 0), 0)), "")</f>
        <v/>
      </c>
      <c r="AA39" s="23" t="str" cm="1">
        <f t="array" ref="AA39">IFERROR(INDEX(FORECAST!$D$12:$D$475, MATCH(1, INDEX((ISNUMBER(SEARCH($B39, FORECAST!$A$12:$A$475))) * (INT(FORECAST!$B$12:$B$475) &lt;= AA$34) * (INT(FORECAST!$C$12:$C$475) &gt;= AA$34), 0), 0)), "")</f>
        <v/>
      </c>
      <c r="AB39" s="23" t="str" cm="1">
        <f t="array" ref="AB39">IFERROR(INDEX(FORECAST!$D$12:$D$475, MATCH(1, INDEX((ISNUMBER(SEARCH($B39, FORECAST!$A$12:$A$475))) * (INT(FORECAST!$B$12:$B$475) &lt;= AB$34) * (INT(FORECAST!$C$12:$C$475) &gt;= AB$34), 0), 0)), "")</f>
        <v>Presupuesto</v>
      </c>
      <c r="AC39" s="23" t="str" cm="1">
        <f t="array" ref="AC39">IFERROR(INDEX(FORECAST!$D$12:$D$475, MATCH(1, INDEX((ISNUMBER(SEARCH($B39, FORECAST!$A$12:$A$475))) * (INT(FORECAST!$B$12:$B$475) &lt;= AC$34) * (INT(FORECAST!$C$12:$C$475) &gt;= AC$34), 0), 0)), "")</f>
        <v/>
      </c>
      <c r="AD39" s="23" t="str" cm="1">
        <f t="array" ref="AD39">IFERROR(INDEX(FORECAST!$D$12:$D$475, MATCH(1, INDEX((ISNUMBER(SEARCH($B39, FORECAST!$A$12:$A$475))) * (INT(FORECAST!$B$12:$B$475) &lt;= AD$34) * (INT(FORECAST!$C$12:$C$475) &gt;= AD$34), 0), 0)), "")</f>
        <v/>
      </c>
      <c r="AE39" s="23" t="str" cm="1">
        <f t="array" ref="AE39">IFERROR(INDEX(FORECAST!$D$12:$D$475, MATCH(1, INDEX((ISNUMBER(SEARCH($B39, FORECAST!$A$12:$A$475))) * (INT(FORECAST!$B$12:$B$475) &lt;= AE$34) * (INT(FORECAST!$C$12:$C$475) &gt;= AE$34), 0), 0)), "")</f>
        <v/>
      </c>
      <c r="AF39" s="23" t="str" cm="1">
        <f t="array" ref="AF39">IFERROR(INDEX(FORECAST!$D$12:$D$475, MATCH(1, INDEX((ISNUMBER(SEARCH($B39, FORECAST!$A$12:$A$475))) * (INT(FORECAST!$B$12:$B$475) &lt;= AF$34) * (INT(FORECAST!$C$12:$C$475) &gt;= AF$34), 0), 0)), "")</f>
        <v/>
      </c>
      <c r="AG39" s="23" t="str" cm="1">
        <f t="array" ref="AG39">IFERROR(INDEX(FORECAST!$D$12:$D$475, MATCH(1, INDEX((ISNUMBER(SEARCH($B39, FORECAST!$A$12:$A$475))) * (INT(FORECAST!$B$12:$B$475) &lt;= AG$34) * (INT(FORECAST!$C$12:$C$475) &gt;= AG$34), 0), 0)), "")</f>
        <v/>
      </c>
      <c r="AH39" s="9"/>
      <c r="AI39" s="2"/>
      <c r="AJ39" s="45">
        <f t="shared" si="2"/>
        <v>0.4838709677419355</v>
      </c>
    </row>
    <row r="40" spans="1:38" x14ac:dyDescent="0.25">
      <c r="A40" s="69"/>
      <c r="B40" s="25" t="s">
        <v>523</v>
      </c>
      <c r="C40" s="23" t="str" cm="1">
        <f t="array" ref="C40">IFERROR(INDEX(FORECAST!$D$12:$D$475, MATCH(1, INDEX((ISNUMBER(SEARCH($B40, FORECAST!$A$12:$A$475))) * (INT(FORECAST!$B$12:$B$475) &lt;= C$34) * (INT(FORECAST!$C$12:$C$475) &gt;= C$34), 0), 0)), "")</f>
        <v>Garantizado</v>
      </c>
      <c r="D40" s="23" t="str" cm="1">
        <f t="array" ref="D40">IFERROR(INDEX(FORECAST!$D$12:$D$475, MATCH(1, INDEX((ISNUMBER(SEARCH($B40, FORECAST!$A$12:$A$475))) * (INT(FORECAST!$B$12:$B$475) &lt;= D$34) * (INT(FORECAST!$C$12:$C$475) &gt;= D$34), 0), 0)), "")</f>
        <v>Garantizado</v>
      </c>
      <c r="E40" s="23" t="str" cm="1">
        <f t="array" ref="E40">IFERROR(INDEX(FORECAST!$D$12:$D$475, MATCH(1, INDEX((ISNUMBER(SEARCH($B40, FORECAST!$A$12:$A$475))) * (INT(FORECAST!$B$12:$B$475) &lt;= E$34) * (INT(FORECAST!$C$12:$C$475) &gt;= E$34), 0), 0)), "")</f>
        <v>Garantizado</v>
      </c>
      <c r="F40" s="23" t="str" cm="1">
        <f t="array" ref="F40">IFERROR(INDEX(FORECAST!$D$12:$D$475, MATCH(1, INDEX((ISNUMBER(SEARCH($B40, FORECAST!$A$12:$A$475))) * (INT(FORECAST!$B$12:$B$475) &lt;= F$34) * (INT(FORECAST!$C$12:$C$475) &gt;= F$34), 0), 0)), "")</f>
        <v/>
      </c>
      <c r="G40" s="23" t="str" cm="1">
        <f t="array" ref="G40">IFERROR(INDEX(FORECAST!$D$12:$D$475, MATCH(1, INDEX((ISNUMBER(SEARCH($B40, FORECAST!$A$12:$A$475))) * (INT(FORECAST!$B$12:$B$475) &lt;= G$34) * (INT(FORECAST!$C$12:$C$475) &gt;= G$34), 0), 0)), "")</f>
        <v/>
      </c>
      <c r="H40" s="23" t="str" cm="1">
        <f t="array" ref="H40">IFERROR(INDEX(FORECAST!$D$12:$D$475, MATCH(1, INDEX((ISNUMBER(SEARCH($B40, FORECAST!$A$12:$A$475))) * (INT(FORECAST!$B$12:$B$475) &lt;= H$34) * (INT(FORECAST!$C$12:$C$475) &gt;= H$34), 0), 0)), "")</f>
        <v/>
      </c>
      <c r="I40" s="23" t="str" cm="1">
        <f t="array" ref="I40">IFERROR(INDEX(FORECAST!$D$12:$D$475, MATCH(1, INDEX((ISNUMBER(SEARCH($B40, FORECAST!$A$12:$A$475))) * (INT(FORECAST!$B$12:$B$475) &lt;= I$34) * (INT(FORECAST!$C$12:$C$475) &gt;= I$34), 0), 0)), "")</f>
        <v/>
      </c>
      <c r="J40" s="23" t="str" cm="1">
        <f t="array" ref="J40">IFERROR(INDEX(FORECAST!$D$12:$D$475, MATCH(1, INDEX((ISNUMBER(SEARCH($B40, FORECAST!$A$12:$A$475))) * (INT(FORECAST!$B$12:$B$475) &lt;= J$34) * (INT(FORECAST!$C$12:$C$475) &gt;= J$34), 0), 0)), "")</f>
        <v/>
      </c>
      <c r="K40" s="23" t="str" cm="1">
        <f t="array" ref="K40">IFERROR(INDEX(FORECAST!$D$12:$D$475, MATCH(1, INDEX((ISNUMBER(SEARCH($B40, FORECAST!$A$12:$A$475))) * (INT(FORECAST!$B$12:$B$475) &lt;= K$34) * (INT(FORECAST!$C$12:$C$475) &gt;= K$34), 0), 0)), "")</f>
        <v/>
      </c>
      <c r="L40" s="23" t="str" cm="1">
        <f t="array" ref="L40">IFERROR(INDEX(FORECAST!$D$12:$D$475, MATCH(1, INDEX((ISNUMBER(SEARCH($B40, FORECAST!$A$12:$A$475))) * (INT(FORECAST!$B$12:$B$475) &lt;= L$34) * (INT(FORECAST!$C$12:$C$475) &gt;= L$34), 0), 0)), "")</f>
        <v/>
      </c>
      <c r="M40" s="23" t="str" cm="1">
        <f t="array" ref="M40">IFERROR(INDEX(FORECAST!$D$12:$D$475, MATCH(1, INDEX((ISNUMBER(SEARCH($B40, FORECAST!$A$12:$A$475))) * (INT(FORECAST!$B$12:$B$475) &lt;= M$34) * (INT(FORECAST!$C$12:$C$475) &gt;= M$34), 0), 0)), "")</f>
        <v/>
      </c>
      <c r="N40" s="23" t="str" cm="1">
        <f t="array" ref="N40">IFERROR(INDEX(FORECAST!$D$12:$D$475, MATCH(1, INDEX((ISNUMBER(SEARCH($B40, FORECAST!$A$12:$A$475))) * (INT(FORECAST!$B$12:$B$475) &lt;= N$34) * (INT(FORECAST!$C$12:$C$475) &gt;= N$34), 0), 0)), "")</f>
        <v/>
      </c>
      <c r="O40" s="23" t="str" cm="1">
        <f t="array" ref="O40">IFERROR(INDEX(FORECAST!$D$12:$D$475, MATCH(1, INDEX((ISNUMBER(SEARCH($B40, FORECAST!$A$12:$A$475))) * (INT(FORECAST!$B$12:$B$475) &lt;= O$34) * (INT(FORECAST!$C$12:$C$475) &gt;= O$34), 0), 0)), "")</f>
        <v/>
      </c>
      <c r="P40" s="23" t="str" cm="1">
        <f t="array" ref="P40">IFERROR(INDEX(FORECAST!$D$12:$D$475, MATCH(1, INDEX((ISNUMBER(SEARCH($B40, FORECAST!$A$12:$A$475))) * (INT(FORECAST!$B$12:$B$475) &lt;= P$34) * (INT(FORECAST!$C$12:$C$475) &gt;= P$34), 0), 0)), "")</f>
        <v>Garantizado</v>
      </c>
      <c r="Q40" s="23" t="str" cm="1">
        <f t="array" ref="Q40">IFERROR(INDEX(FORECAST!$D$12:$D$475, MATCH(1, INDEX((ISNUMBER(SEARCH($B40, FORECAST!$A$12:$A$475))) * (INT(FORECAST!$B$12:$B$475) &lt;= Q$34) * (INT(FORECAST!$C$12:$C$475) &gt;= Q$34), 0), 0)), "")</f>
        <v>Garantizado</v>
      </c>
      <c r="R40" s="23" t="str" cm="1">
        <f t="array" ref="R40">IFERROR(INDEX(FORECAST!$D$12:$D$475, MATCH(1, INDEX((ISNUMBER(SEARCH($B40, FORECAST!$A$12:$A$475))) * (INT(FORECAST!$B$12:$B$475) &lt;= R$34) * (INT(FORECAST!$C$12:$C$475) &gt;= R$34), 0), 0)), "")</f>
        <v/>
      </c>
      <c r="S40" s="23" t="str" cm="1">
        <f t="array" ref="S40">IFERROR(INDEX(FORECAST!$D$12:$D$475, MATCH(1, INDEX((ISNUMBER(SEARCH($B40, FORECAST!$A$12:$A$475))) * (INT(FORECAST!$B$12:$B$475) &lt;= S$34) * (INT(FORECAST!$C$12:$C$475) &gt;= S$34), 0), 0)), "")</f>
        <v/>
      </c>
      <c r="T40" s="23" t="str" cm="1">
        <f t="array" ref="T40">IFERROR(INDEX(FORECAST!$D$12:$D$475, MATCH(1, INDEX((ISNUMBER(SEARCH($B40, FORECAST!$A$12:$A$475))) * (INT(FORECAST!$B$12:$B$475) &lt;= T$34) * (INT(FORECAST!$C$12:$C$475) &gt;= T$34), 0), 0)), "")</f>
        <v>Garantizado</v>
      </c>
      <c r="U40" s="23" t="str" cm="1">
        <f t="array" ref="U40">IFERROR(INDEX(FORECAST!$D$12:$D$475, MATCH(1, INDEX((ISNUMBER(SEARCH($B40, FORECAST!$A$12:$A$475))) * (INT(FORECAST!$B$12:$B$475) &lt;= U$34) * (INT(FORECAST!$C$12:$C$475) &gt;= U$34), 0), 0)), "")</f>
        <v>Presupuesto</v>
      </c>
      <c r="V40" s="23" t="str" cm="1">
        <f t="array" ref="V40">IFERROR(INDEX(FORECAST!$D$12:$D$475, MATCH(1, INDEX((ISNUMBER(SEARCH($B40, FORECAST!$A$12:$A$475))) * (INT(FORECAST!$B$12:$B$475) &lt;= V$34) * (INT(FORECAST!$C$12:$C$475) &gt;= V$34), 0), 0)), "")</f>
        <v>Garantizado</v>
      </c>
      <c r="W40" s="23" t="str" cm="1">
        <f t="array" ref="W40">IFERROR(INDEX(FORECAST!$D$12:$D$475, MATCH(1, INDEX((ISNUMBER(SEARCH($B40, FORECAST!$A$12:$A$475))) * (INT(FORECAST!$B$12:$B$475) &lt;= W$34) * (INT(FORECAST!$C$12:$C$475) &gt;= W$34), 0), 0)), "")</f>
        <v>Garantizado</v>
      </c>
      <c r="X40" s="23" t="str" cm="1">
        <f t="array" ref="X40">IFERROR(INDEX(FORECAST!$D$12:$D$475, MATCH(1, INDEX((ISNUMBER(SEARCH($B40, FORECAST!$A$12:$A$475))) * (INT(FORECAST!$B$12:$B$475) &lt;= X$34) * (INT(FORECAST!$C$12:$C$475) &gt;= X$34), 0), 0)), "")</f>
        <v/>
      </c>
      <c r="Y40" s="23" t="str" cm="1">
        <f t="array" ref="Y40">IFERROR(INDEX(FORECAST!$D$12:$D$475, MATCH(1, INDEX((ISNUMBER(SEARCH($B40, FORECAST!$A$12:$A$475))) * (INT(FORECAST!$B$12:$B$475) &lt;= Y$34) * (INT(FORECAST!$C$12:$C$475) &gt;= Y$34), 0), 0)), "")</f>
        <v/>
      </c>
      <c r="Z40" s="23" t="str" cm="1">
        <f t="array" ref="Z40">IFERROR(INDEX(FORECAST!$D$12:$D$475, MATCH(1, INDEX((ISNUMBER(SEARCH($B40, FORECAST!$A$12:$A$475))) * (INT(FORECAST!$B$12:$B$475) &lt;= Z$34) * (INT(FORECAST!$C$12:$C$475) &gt;= Z$34), 0), 0)), "")</f>
        <v>Garantizado</v>
      </c>
      <c r="AA40" s="23" t="str" cm="1">
        <f t="array" ref="AA40">IFERROR(INDEX(FORECAST!$D$12:$D$475, MATCH(1, INDEX((ISNUMBER(SEARCH($B40, FORECAST!$A$12:$A$475))) * (INT(FORECAST!$B$12:$B$475) &lt;= AA$34) * (INT(FORECAST!$C$12:$C$475) &gt;= AA$34), 0), 0)), "")</f>
        <v>Garantizado</v>
      </c>
      <c r="AB40" s="23" t="str" cm="1">
        <f t="array" ref="AB40">IFERROR(INDEX(FORECAST!$D$12:$D$475, MATCH(1, INDEX((ISNUMBER(SEARCH($B40, FORECAST!$A$12:$A$475))) * (INT(FORECAST!$B$12:$B$475) &lt;= AB$34) * (INT(FORECAST!$C$12:$C$475) &gt;= AB$34), 0), 0)), "")</f>
        <v>Garantizado</v>
      </c>
      <c r="AC40" s="23" t="str" cm="1">
        <f t="array" ref="AC40">IFERROR(INDEX(FORECAST!$D$12:$D$475, MATCH(1, INDEX((ISNUMBER(SEARCH($B40, FORECAST!$A$12:$A$475))) * (INT(FORECAST!$B$12:$B$475) &lt;= AC$34) * (INT(FORECAST!$C$12:$C$475) &gt;= AC$34), 0), 0)), "")</f>
        <v>Garantizado</v>
      </c>
      <c r="AD40" s="23" t="str" cm="1">
        <f t="array" ref="AD40">IFERROR(INDEX(FORECAST!$D$12:$D$475, MATCH(1, INDEX((ISNUMBER(SEARCH($B40, FORECAST!$A$12:$A$475))) * (INT(FORECAST!$B$12:$B$475) &lt;= AD$34) * (INT(FORECAST!$C$12:$C$475) &gt;= AD$34), 0), 0)), "")</f>
        <v/>
      </c>
      <c r="AE40" s="23" t="str" cm="1">
        <f t="array" ref="AE40">IFERROR(INDEX(FORECAST!$D$12:$D$475, MATCH(1, INDEX((ISNUMBER(SEARCH($B40, FORECAST!$A$12:$A$475))) * (INT(FORECAST!$B$12:$B$475) &lt;= AE$34) * (INT(FORECAST!$C$12:$C$475) &gt;= AE$34), 0), 0)), "")</f>
        <v/>
      </c>
      <c r="AF40" s="23" t="str" cm="1">
        <f t="array" ref="AF40">IFERROR(INDEX(FORECAST!$D$12:$D$475, MATCH(1, INDEX((ISNUMBER(SEARCH($B40, FORECAST!$A$12:$A$475))) * (INT(FORECAST!$B$12:$B$475) &lt;= AF$34) * (INT(FORECAST!$C$12:$C$475) &gt;= AF$34), 0), 0)), "")</f>
        <v>Presupuesto</v>
      </c>
      <c r="AG40" s="23" t="str" cm="1">
        <f t="array" ref="AG40">IFERROR(INDEX(FORECAST!$D$12:$D$475, MATCH(1, INDEX((ISNUMBER(SEARCH($B40, FORECAST!$A$12:$A$475))) * (INT(FORECAST!$B$12:$B$475) &lt;= AG$34) * (INT(FORECAST!$C$12:$C$475) &gt;= AG$34), 0), 0)), "")</f>
        <v>Presupuesto</v>
      </c>
      <c r="AH40" s="9"/>
      <c r="AI40" s="2"/>
      <c r="AJ40" s="45">
        <f t="shared" si="2"/>
        <v>0.38709677419354838</v>
      </c>
    </row>
    <row r="41" spans="1:38" x14ac:dyDescent="0.25">
      <c r="A41" s="69"/>
      <c r="B41" s="25" t="s">
        <v>9</v>
      </c>
      <c r="C41" s="23" t="str" cm="1">
        <f t="array" ref="C41">IFERROR(INDEX(FORECAST!$D$12:$D$475, MATCH(1, INDEX((ISNUMBER(SEARCH($B41, FORECAST!$A$12:$A$475))) * (INT(FORECAST!$B$12:$B$475) &lt;= C$34) * (INT(FORECAST!$C$12:$C$475) &gt;= C$34), 0), 0)), "")</f>
        <v/>
      </c>
      <c r="D41" s="23" t="str" cm="1">
        <f t="array" ref="D41">IFERROR(INDEX(FORECAST!$D$12:$D$475, MATCH(1, INDEX((ISNUMBER(SEARCH($B41, FORECAST!$A$12:$A$475))) * (INT(FORECAST!$B$12:$B$475) &lt;= D$34) * (INT(FORECAST!$C$12:$C$475) &gt;= D$34), 0), 0)), "")</f>
        <v/>
      </c>
      <c r="E41" s="23" t="str" cm="1">
        <f t="array" ref="E41">IFERROR(INDEX(FORECAST!$D$12:$D$475, MATCH(1, INDEX((ISNUMBER(SEARCH($B41, FORECAST!$A$12:$A$475))) * (INT(FORECAST!$B$12:$B$475) &lt;= E$34) * (INT(FORECAST!$C$12:$C$475) &gt;= E$34), 0), 0)), "")</f>
        <v>Garantizado</v>
      </c>
      <c r="F41" s="23" t="str" cm="1">
        <f t="array" ref="F41">IFERROR(INDEX(FORECAST!$D$12:$D$475, MATCH(1, INDEX((ISNUMBER(SEARCH($B41, FORECAST!$A$12:$A$475))) * (INT(FORECAST!$B$12:$B$475) &lt;= F$34) * (INT(FORECAST!$C$12:$C$475) &gt;= F$34), 0), 0)), "")</f>
        <v>Garantizado</v>
      </c>
      <c r="G41" s="23" t="str" cm="1">
        <f t="array" ref="G41">IFERROR(INDEX(FORECAST!$D$12:$D$475, MATCH(1, INDEX((ISNUMBER(SEARCH($B41, FORECAST!$A$12:$A$475))) * (INT(FORECAST!$B$12:$B$475) &lt;= G$34) * (INT(FORECAST!$C$12:$C$475) &gt;= G$34), 0), 0)), "")</f>
        <v/>
      </c>
      <c r="H41" s="23" t="str" cm="1">
        <f t="array" ref="H41">IFERROR(INDEX(FORECAST!$D$12:$D$475, MATCH(1, INDEX((ISNUMBER(SEARCH($B41, FORECAST!$A$12:$A$475))) * (INT(FORECAST!$B$12:$B$475) &lt;= H$34) * (INT(FORECAST!$C$12:$C$475) &gt;= H$34), 0), 0)), "")</f>
        <v/>
      </c>
      <c r="I41" s="23" t="str" cm="1">
        <f t="array" ref="I41">IFERROR(INDEX(FORECAST!$D$12:$D$475, MATCH(1, INDEX((ISNUMBER(SEARCH($B41, FORECAST!$A$12:$A$475))) * (INT(FORECAST!$B$12:$B$475) &lt;= I$34) * (INT(FORECAST!$C$12:$C$475) &gt;= I$34), 0), 0)), "")</f>
        <v/>
      </c>
      <c r="J41" s="23" t="str" cm="1">
        <f t="array" ref="J41">IFERROR(INDEX(FORECAST!$D$12:$D$475, MATCH(1, INDEX((ISNUMBER(SEARCH($B41, FORECAST!$A$12:$A$475))) * (INT(FORECAST!$B$12:$B$475) &lt;= J$34) * (INT(FORECAST!$C$12:$C$475) &gt;= J$34), 0), 0)), "")</f>
        <v/>
      </c>
      <c r="K41" s="23" t="str" cm="1">
        <f t="array" ref="K41">IFERROR(INDEX(FORECAST!$D$12:$D$475, MATCH(1, INDEX((ISNUMBER(SEARCH($B41, FORECAST!$A$12:$A$475))) * (INT(FORECAST!$B$12:$B$475) &lt;= K$34) * (INT(FORECAST!$C$12:$C$475) &gt;= K$34), 0), 0)), "")</f>
        <v/>
      </c>
      <c r="L41" s="23" t="str" cm="1">
        <f t="array" ref="L41">IFERROR(INDEX(FORECAST!$D$12:$D$475, MATCH(1, INDEX((ISNUMBER(SEARCH($B41, FORECAST!$A$12:$A$475))) * (INT(FORECAST!$B$12:$B$475) &lt;= L$34) * (INT(FORECAST!$C$12:$C$475) &gt;= L$34), 0), 0)), "")</f>
        <v>Garantizado</v>
      </c>
      <c r="M41" s="23" t="str" cm="1">
        <f t="array" ref="M41">IFERROR(INDEX(FORECAST!$D$12:$D$475, MATCH(1, INDEX((ISNUMBER(SEARCH($B41, FORECAST!$A$12:$A$475))) * (INT(FORECAST!$B$12:$B$475) &lt;= M$34) * (INT(FORECAST!$C$12:$C$475) &gt;= M$34), 0), 0)), "")</f>
        <v>Garantizado</v>
      </c>
      <c r="N41" s="23" t="str" cm="1">
        <f t="array" ref="N41">IFERROR(INDEX(FORECAST!$D$12:$D$475, MATCH(1, INDEX((ISNUMBER(SEARCH($B41, FORECAST!$A$12:$A$475))) * (INT(FORECAST!$B$12:$B$475) &lt;= N$34) * (INT(FORECAST!$C$12:$C$475) &gt;= N$34), 0), 0)), "")</f>
        <v>Garantizado</v>
      </c>
      <c r="O41" s="23" t="str" cm="1">
        <f t="array" ref="O41">IFERROR(INDEX(FORECAST!$D$12:$D$475, MATCH(1, INDEX((ISNUMBER(SEARCH($B41, FORECAST!$A$12:$A$475))) * (INT(FORECAST!$B$12:$B$475) &lt;= O$34) * (INT(FORECAST!$C$12:$C$475) &gt;= O$34), 0), 0)), "")</f>
        <v/>
      </c>
      <c r="P41" s="23" t="str" cm="1">
        <f t="array" ref="P41">IFERROR(INDEX(FORECAST!$D$12:$D$475, MATCH(1, INDEX((ISNUMBER(SEARCH($B41, FORECAST!$A$12:$A$475))) * (INT(FORECAST!$B$12:$B$475) &lt;= P$34) * (INT(FORECAST!$C$12:$C$475) &gt;= P$34), 0), 0)), "")</f>
        <v/>
      </c>
      <c r="Q41" s="23" t="str" cm="1">
        <f t="array" ref="Q41">IFERROR(INDEX(FORECAST!$D$12:$D$475, MATCH(1, INDEX((ISNUMBER(SEARCH($B41, FORECAST!$A$12:$A$475))) * (INT(FORECAST!$B$12:$B$475) &lt;= Q$34) * (INT(FORECAST!$C$12:$C$475) &gt;= Q$34), 0), 0)), "")</f>
        <v/>
      </c>
      <c r="R41" s="23" t="str" cm="1">
        <f t="array" ref="R41">IFERROR(INDEX(FORECAST!$D$12:$D$475, MATCH(1, INDEX((ISNUMBER(SEARCH($B41, FORECAST!$A$12:$A$475))) * (INT(FORECAST!$B$12:$B$475) &lt;= R$34) * (INT(FORECAST!$C$12:$C$475) &gt;= R$34), 0), 0)), "")</f>
        <v/>
      </c>
      <c r="S41" s="23" t="str" cm="1">
        <f t="array" ref="S41">IFERROR(INDEX(FORECAST!$D$12:$D$475, MATCH(1, INDEX((ISNUMBER(SEARCH($B41, FORECAST!$A$12:$A$475))) * (INT(FORECAST!$B$12:$B$475) &lt;= S$34) * (INT(FORECAST!$C$12:$C$475) &gt;= S$34), 0), 0)), "")</f>
        <v/>
      </c>
      <c r="T41" s="23" t="str" cm="1">
        <f t="array" ref="T41">IFERROR(INDEX(FORECAST!$D$12:$D$475, MATCH(1, INDEX((ISNUMBER(SEARCH($B41, FORECAST!$A$12:$A$475))) * (INT(FORECAST!$B$12:$B$475) &lt;= T$34) * (INT(FORECAST!$C$12:$C$475) &gt;= T$34), 0), 0)), "")</f>
        <v/>
      </c>
      <c r="U41" s="23" t="str" cm="1">
        <f t="array" ref="U41">IFERROR(INDEX(FORECAST!$D$12:$D$475, MATCH(1, INDEX((ISNUMBER(SEARCH($B41, FORECAST!$A$12:$A$475))) * (INT(FORECAST!$B$12:$B$475) &lt;= U$34) * (INT(FORECAST!$C$12:$C$475) &gt;= U$34), 0), 0)), "")</f>
        <v/>
      </c>
      <c r="V41" s="23" t="str" cm="1">
        <f t="array" ref="V41">IFERROR(INDEX(FORECAST!$D$12:$D$475, MATCH(1, INDEX((ISNUMBER(SEARCH($B41, FORECAST!$A$12:$A$475))) * (INT(FORECAST!$B$12:$B$475) &lt;= V$34) * (INT(FORECAST!$C$12:$C$475) &gt;= V$34), 0), 0)), "")</f>
        <v/>
      </c>
      <c r="W41" s="23" t="str" cm="1">
        <f t="array" ref="W41">IFERROR(INDEX(FORECAST!$D$12:$D$475, MATCH(1, INDEX((ISNUMBER(SEARCH($B41, FORECAST!$A$12:$A$475))) * (INT(FORECAST!$B$12:$B$475) &lt;= W$34) * (INT(FORECAST!$C$12:$C$475) &gt;= W$34), 0), 0)), "")</f>
        <v>Garantizado</v>
      </c>
      <c r="X41" s="23" t="str" cm="1">
        <f t="array" ref="X41">IFERROR(INDEX(FORECAST!$D$12:$D$475, MATCH(1, INDEX((ISNUMBER(SEARCH($B41, FORECAST!$A$12:$A$475))) * (INT(FORECAST!$B$12:$B$475) &lt;= X$34) * (INT(FORECAST!$C$12:$C$475) &gt;= X$34), 0), 0)), "")</f>
        <v/>
      </c>
      <c r="Y41" s="23" t="str" cm="1">
        <f t="array" ref="Y41">IFERROR(INDEX(FORECAST!$D$12:$D$475, MATCH(1, INDEX((ISNUMBER(SEARCH($B41, FORECAST!$A$12:$A$475))) * (INT(FORECAST!$B$12:$B$475) &lt;= Y$34) * (INT(FORECAST!$C$12:$C$475) &gt;= Y$34), 0), 0)), "")</f>
        <v/>
      </c>
      <c r="Z41" s="23" t="str" cm="1">
        <f t="array" ref="Z41">IFERROR(INDEX(FORECAST!$D$12:$D$475, MATCH(1, INDEX((ISNUMBER(SEARCH($B41, FORECAST!$A$12:$A$475))) * (INT(FORECAST!$B$12:$B$475) &lt;= Z$34) * (INT(FORECAST!$C$12:$C$475) &gt;= Z$34), 0), 0)), "")</f>
        <v>Garantizado</v>
      </c>
      <c r="AA41" s="23" t="str" cm="1">
        <f t="array" ref="AA41">IFERROR(INDEX(FORECAST!$D$12:$D$475, MATCH(1, INDEX((ISNUMBER(SEARCH($B41, FORECAST!$A$12:$A$475))) * (INT(FORECAST!$B$12:$B$475) &lt;= AA$34) * (INT(FORECAST!$C$12:$C$475) &gt;= AA$34), 0), 0)), "")</f>
        <v/>
      </c>
      <c r="AB41" s="23" t="str" cm="1">
        <f t="array" ref="AB41">IFERROR(INDEX(FORECAST!$D$12:$D$475, MATCH(1, INDEX((ISNUMBER(SEARCH($B41, FORECAST!$A$12:$A$475))) * (INT(FORECAST!$B$12:$B$475) &lt;= AB$34) * (INT(FORECAST!$C$12:$C$475) &gt;= AB$34), 0), 0)), "")</f>
        <v>Garantizado</v>
      </c>
      <c r="AC41" s="23" t="str" cm="1">
        <f t="array" ref="AC41">IFERROR(INDEX(FORECAST!$D$12:$D$475, MATCH(1, INDEX((ISNUMBER(SEARCH($B41, FORECAST!$A$12:$A$475))) * (INT(FORECAST!$B$12:$B$475) &lt;= AC$34) * (INT(FORECAST!$C$12:$C$475) &gt;= AC$34), 0), 0)), "")</f>
        <v/>
      </c>
      <c r="AD41" s="23" t="str" cm="1">
        <f t="array" ref="AD41">IFERROR(INDEX(FORECAST!$D$12:$D$475, MATCH(1, INDEX((ISNUMBER(SEARCH($B41, FORECAST!$A$12:$A$475))) * (INT(FORECAST!$B$12:$B$475) &lt;= AD$34) * (INT(FORECAST!$C$12:$C$475) &gt;= AD$34), 0), 0)), "")</f>
        <v>Garantizado</v>
      </c>
      <c r="AE41" s="23" t="str" cm="1">
        <f t="array" ref="AE41">IFERROR(INDEX(FORECAST!$D$12:$D$475, MATCH(1, INDEX((ISNUMBER(SEARCH($B41, FORECAST!$A$12:$A$475))) * (INT(FORECAST!$B$12:$B$475) &lt;= AE$34) * (INT(FORECAST!$C$12:$C$475) &gt;= AE$34), 0), 0)), "")</f>
        <v/>
      </c>
      <c r="AF41" s="23" t="str" cm="1">
        <f t="array" ref="AF41">IFERROR(INDEX(FORECAST!$D$12:$D$475, MATCH(1, INDEX((ISNUMBER(SEARCH($B41, FORECAST!$A$12:$A$475))) * (INT(FORECAST!$B$12:$B$475) &lt;= AF$34) * (INT(FORECAST!$C$12:$C$475) &gt;= AF$34), 0), 0)), "")</f>
        <v/>
      </c>
      <c r="AG41" s="23" t="str" cm="1">
        <f t="array" ref="AG41">IFERROR(INDEX(FORECAST!$D$12:$D$475, MATCH(1, INDEX((ISNUMBER(SEARCH($B41, FORECAST!$A$12:$A$475))) * (INT(FORECAST!$B$12:$B$475) &lt;= AG$34) * (INT(FORECAST!$C$12:$C$475) &gt;= AG$34), 0), 0)), "")</f>
        <v/>
      </c>
      <c r="AH41" s="9"/>
      <c r="AI41" s="2"/>
      <c r="AJ41" s="45">
        <f t="shared" si="2"/>
        <v>0.29032258064516131</v>
      </c>
    </row>
    <row r="42" spans="1:38" x14ac:dyDescent="0.25">
      <c r="A42" s="69"/>
      <c r="B42" s="25" t="s">
        <v>80</v>
      </c>
      <c r="C42" s="23" t="str" cm="1">
        <f t="array" ref="C42">IFERROR(INDEX(FORECAST!$D$12:$D$475, MATCH(1, INDEX((ISNUMBER(SEARCH($B42, FORECAST!$A$12:$A$475))) * (INT(FORECAST!$B$12:$B$475) &lt;= C$34) * (INT(FORECAST!$C$12:$C$475) &gt;= C$34), 0), 0)), "")</f>
        <v/>
      </c>
      <c r="D42" s="23" t="str" cm="1">
        <f t="array" ref="D42">IFERROR(INDEX(FORECAST!$D$12:$D$475, MATCH(1, INDEX((ISNUMBER(SEARCH($B42, FORECAST!$A$12:$A$475))) * (INT(FORECAST!$B$12:$B$475) &lt;= D$34) * (INT(FORECAST!$C$12:$C$475) &gt;= D$34), 0), 0)), "")</f>
        <v/>
      </c>
      <c r="E42" s="23" t="str" cm="1">
        <f t="array" ref="E42">IFERROR(INDEX(FORECAST!$D$12:$D$475, MATCH(1, INDEX((ISNUMBER(SEARCH($B42, FORECAST!$A$12:$A$475))) * (INT(FORECAST!$B$12:$B$475) &lt;= E$34) * (INT(FORECAST!$C$12:$C$475) &gt;= E$34), 0), 0)), "")</f>
        <v/>
      </c>
      <c r="F42" s="23" t="str" cm="1">
        <f t="array" ref="F42">IFERROR(INDEX(FORECAST!$D$12:$D$475, MATCH(1, INDEX((ISNUMBER(SEARCH($B42, FORECAST!$A$12:$A$475))) * (INT(FORECAST!$B$12:$B$475) &lt;= F$34) * (INT(FORECAST!$C$12:$C$475) &gt;= F$34), 0), 0)), "")</f>
        <v/>
      </c>
      <c r="G42" s="23" t="str" cm="1">
        <f t="array" ref="G42">IFERROR(INDEX(FORECAST!$D$12:$D$475, MATCH(1, INDEX((ISNUMBER(SEARCH($B42, FORECAST!$A$12:$A$475))) * (INT(FORECAST!$B$12:$B$475) &lt;= G$34) * (INT(FORECAST!$C$12:$C$475) &gt;= G$34), 0), 0)), "")</f>
        <v/>
      </c>
      <c r="H42" s="23" t="str" cm="1">
        <f t="array" ref="H42">IFERROR(INDEX(FORECAST!$D$12:$D$475, MATCH(1, INDEX((ISNUMBER(SEARCH($B42, FORECAST!$A$12:$A$475))) * (INT(FORECAST!$B$12:$B$475) &lt;= H$34) * (INT(FORECAST!$C$12:$C$475) &gt;= H$34), 0), 0)), "")</f>
        <v>Garantizado</v>
      </c>
      <c r="I42" s="23" t="str" cm="1">
        <f t="array" ref="I42">IFERROR(INDEX(FORECAST!$D$12:$D$475, MATCH(1, INDEX((ISNUMBER(SEARCH($B42, FORECAST!$A$12:$A$475))) * (INT(FORECAST!$B$12:$B$475) &lt;= I$34) * (INT(FORECAST!$C$12:$C$475) &gt;= I$34), 0), 0)), "")</f>
        <v>Garantizado</v>
      </c>
      <c r="J42" s="23" t="str" cm="1">
        <f t="array" ref="J42">IFERROR(INDEX(FORECAST!$D$12:$D$475, MATCH(1, INDEX((ISNUMBER(SEARCH($B42, FORECAST!$A$12:$A$475))) * (INT(FORECAST!$B$12:$B$475) &lt;= J$34) * (INT(FORECAST!$C$12:$C$475) &gt;= J$34), 0), 0)), "")</f>
        <v>Garantizado</v>
      </c>
      <c r="K42" s="23" t="str" cm="1">
        <f t="array" ref="K42">IFERROR(INDEX(FORECAST!$D$12:$D$475, MATCH(1, INDEX((ISNUMBER(SEARCH($B42, FORECAST!$A$12:$A$475))) * (INT(FORECAST!$B$12:$B$475) &lt;= K$34) * (INT(FORECAST!$C$12:$C$475) &gt;= K$34), 0), 0)), "")</f>
        <v>Garantizado</v>
      </c>
      <c r="L42" s="23" t="str" cm="1">
        <f t="array" ref="L42">IFERROR(INDEX(FORECAST!$D$12:$D$475, MATCH(1, INDEX((ISNUMBER(SEARCH($B42, FORECAST!$A$12:$A$475))) * (INT(FORECAST!$B$12:$B$475) &lt;= L$34) * (INT(FORECAST!$C$12:$C$475) &gt;= L$34), 0), 0)), "")</f>
        <v>Garantizado</v>
      </c>
      <c r="M42" s="23" t="str" cm="1">
        <f t="array" ref="M42">IFERROR(INDEX(FORECAST!$D$12:$D$475, MATCH(1, INDEX((ISNUMBER(SEARCH($B42, FORECAST!$A$12:$A$475))) * (INT(FORECAST!$B$12:$B$475) &lt;= M$34) * (INT(FORECAST!$C$12:$C$475) &gt;= M$34), 0), 0)), "")</f>
        <v>Garantizado</v>
      </c>
      <c r="N42" s="23" t="str" cm="1">
        <f t="array" ref="N42">IFERROR(INDEX(FORECAST!$D$12:$D$475, MATCH(1, INDEX((ISNUMBER(SEARCH($B42, FORECAST!$A$12:$A$475))) * (INT(FORECAST!$B$12:$B$475) &lt;= N$34) * (INT(FORECAST!$C$12:$C$475) &gt;= N$34), 0), 0)), "")</f>
        <v/>
      </c>
      <c r="O42" s="23" t="str" cm="1">
        <f t="array" ref="O42">IFERROR(INDEX(FORECAST!$D$12:$D$475, MATCH(1, INDEX((ISNUMBER(SEARCH($B42, FORECAST!$A$12:$A$475))) * (INT(FORECAST!$B$12:$B$475) &lt;= O$34) * (INT(FORECAST!$C$12:$C$475) &gt;= O$34), 0), 0)), "")</f>
        <v/>
      </c>
      <c r="P42" s="23" t="str" cm="1">
        <f t="array" ref="P42">IFERROR(INDEX(FORECAST!$D$12:$D$475, MATCH(1, INDEX((ISNUMBER(SEARCH($B42, FORECAST!$A$12:$A$475))) * (INT(FORECAST!$B$12:$B$475) &lt;= P$34) * (INT(FORECAST!$C$12:$C$475) &gt;= P$34), 0), 0)), "")</f>
        <v/>
      </c>
      <c r="Q42" s="23" t="str" cm="1">
        <f t="array" ref="Q42">IFERROR(INDEX(FORECAST!$D$12:$D$475, MATCH(1, INDEX((ISNUMBER(SEARCH($B42, FORECAST!$A$12:$A$475))) * (INT(FORECAST!$B$12:$B$475) &lt;= Q$34) * (INT(FORECAST!$C$12:$C$475) &gt;= Q$34), 0), 0)), "")</f>
        <v/>
      </c>
      <c r="R42" s="23" t="str" cm="1">
        <f t="array" ref="R42">IFERROR(INDEX(FORECAST!$D$12:$D$475, MATCH(1, INDEX((ISNUMBER(SEARCH($B42, FORECAST!$A$12:$A$475))) * (INT(FORECAST!$B$12:$B$475) &lt;= R$34) * (INT(FORECAST!$C$12:$C$475) &gt;= R$34), 0), 0)), "")</f>
        <v/>
      </c>
      <c r="S42" s="23" t="str" cm="1">
        <f t="array" ref="S42">IFERROR(INDEX(FORECAST!$D$12:$D$475, MATCH(1, INDEX((ISNUMBER(SEARCH($B42, FORECAST!$A$12:$A$475))) * (INT(FORECAST!$B$12:$B$475) &lt;= S$34) * (INT(FORECAST!$C$12:$C$475) &gt;= S$34), 0), 0)), "")</f>
        <v/>
      </c>
      <c r="T42" s="23" t="str" cm="1">
        <f t="array" ref="T42">IFERROR(INDEX(FORECAST!$D$12:$D$475, MATCH(1, INDEX((ISNUMBER(SEARCH($B42, FORECAST!$A$12:$A$475))) * (INT(FORECAST!$B$12:$B$475) &lt;= T$34) * (INT(FORECAST!$C$12:$C$475) &gt;= T$34), 0), 0)), "")</f>
        <v/>
      </c>
      <c r="U42" s="23" t="str" cm="1">
        <f t="array" ref="U42">IFERROR(INDEX(FORECAST!$D$12:$D$475, MATCH(1, INDEX((ISNUMBER(SEARCH($B42, FORECAST!$A$12:$A$475))) * (INT(FORECAST!$B$12:$B$475) &lt;= U$34) * (INT(FORECAST!$C$12:$C$475) &gt;= U$34), 0), 0)), "")</f>
        <v/>
      </c>
      <c r="V42" s="23" t="str" cm="1">
        <f t="array" ref="V42">IFERROR(INDEX(FORECAST!$D$12:$D$475, MATCH(1, INDEX((ISNUMBER(SEARCH($B42, FORECAST!$A$12:$A$475))) * (INT(FORECAST!$B$12:$B$475) &lt;= V$34) * (INT(FORECAST!$C$12:$C$475) &gt;= V$34), 0), 0)), "")</f>
        <v/>
      </c>
      <c r="W42" s="23" t="str" cm="1">
        <f t="array" ref="W42">IFERROR(INDEX(FORECAST!$D$12:$D$475, MATCH(1, INDEX((ISNUMBER(SEARCH($B42, FORECAST!$A$12:$A$475))) * (INT(FORECAST!$B$12:$B$475) &lt;= W$34) * (INT(FORECAST!$C$12:$C$475) &gt;= W$34), 0), 0)), "")</f>
        <v/>
      </c>
      <c r="X42" s="23" t="str" cm="1">
        <f t="array" ref="X42">IFERROR(INDEX(FORECAST!$D$12:$D$475, MATCH(1, INDEX((ISNUMBER(SEARCH($B42, FORECAST!$A$12:$A$475))) * (INT(FORECAST!$B$12:$B$475) &lt;= X$34) * (INT(FORECAST!$C$12:$C$475) &gt;= X$34), 0), 0)), "")</f>
        <v/>
      </c>
      <c r="Y42" s="23" t="str" cm="1">
        <f t="array" ref="Y42">IFERROR(INDEX(FORECAST!$D$12:$D$475, MATCH(1, INDEX((ISNUMBER(SEARCH($B42, FORECAST!$A$12:$A$475))) * (INT(FORECAST!$B$12:$B$475) &lt;= Y$34) * (INT(FORECAST!$C$12:$C$475) &gt;= Y$34), 0), 0)), "")</f>
        <v/>
      </c>
      <c r="Z42" s="23" t="str" cm="1">
        <f t="array" ref="Z42">IFERROR(INDEX(FORECAST!$D$12:$D$475, MATCH(1, INDEX((ISNUMBER(SEARCH($B42, FORECAST!$A$12:$A$475))) * (INT(FORECAST!$B$12:$B$475) &lt;= Z$34) * (INT(FORECAST!$C$12:$C$475) &gt;= Z$34), 0), 0)), "")</f>
        <v>Garantizado</v>
      </c>
      <c r="AA42" s="23" t="str" cm="1">
        <f t="array" ref="AA42">IFERROR(INDEX(FORECAST!$D$12:$D$475, MATCH(1, INDEX((ISNUMBER(SEARCH($B42, FORECAST!$A$12:$A$475))) * (INT(FORECAST!$B$12:$B$475) &lt;= AA$34) * (INT(FORECAST!$C$12:$C$475) &gt;= AA$34), 0), 0)), "")</f>
        <v>Garantizado</v>
      </c>
      <c r="AB42" s="23" t="str" cm="1">
        <f t="array" ref="AB42">IFERROR(INDEX(FORECAST!$D$12:$D$475, MATCH(1, INDEX((ISNUMBER(SEARCH($B42, FORECAST!$A$12:$A$475))) * (INT(FORECAST!$B$12:$B$475) &lt;= AB$34) * (INT(FORECAST!$C$12:$C$475) &gt;= AB$34), 0), 0)), "")</f>
        <v>Garantizado</v>
      </c>
      <c r="AC42" s="23" t="str" cm="1">
        <f t="array" ref="AC42">IFERROR(INDEX(FORECAST!$D$12:$D$475, MATCH(1, INDEX((ISNUMBER(SEARCH($B42, FORECAST!$A$12:$A$475))) * (INT(FORECAST!$B$12:$B$475) &lt;= AC$34) * (INT(FORECAST!$C$12:$C$475) &gt;= AC$34), 0), 0)), "")</f>
        <v>Garantizado</v>
      </c>
      <c r="AD42" s="23" t="str" cm="1">
        <f t="array" ref="AD42">IFERROR(INDEX(FORECAST!$D$12:$D$475, MATCH(1, INDEX((ISNUMBER(SEARCH($B42, FORECAST!$A$12:$A$475))) * (INT(FORECAST!$B$12:$B$475) &lt;= AD$34) * (INT(FORECAST!$C$12:$C$475) &gt;= AD$34), 0), 0)), "")</f>
        <v/>
      </c>
      <c r="AE42" s="23" t="str" cm="1">
        <f t="array" ref="AE42">IFERROR(INDEX(FORECAST!$D$12:$D$475, MATCH(1, INDEX((ISNUMBER(SEARCH($B42, FORECAST!$A$12:$A$475))) * (INT(FORECAST!$B$12:$B$475) &lt;= AE$34) * (INT(FORECAST!$C$12:$C$475) &gt;= AE$34), 0), 0)), "")</f>
        <v/>
      </c>
      <c r="AF42" s="23" t="str" cm="1">
        <f t="array" ref="AF42">IFERROR(INDEX(FORECAST!$D$12:$D$475, MATCH(1, INDEX((ISNUMBER(SEARCH($B42, FORECAST!$A$12:$A$475))) * (INT(FORECAST!$B$12:$B$475) &lt;= AF$34) * (INT(FORECAST!$C$12:$C$475) &gt;= AF$34), 0), 0)), "")</f>
        <v/>
      </c>
      <c r="AG42" s="23" t="str" cm="1">
        <f t="array" ref="AG42">IFERROR(INDEX(FORECAST!$D$12:$D$475, MATCH(1, INDEX((ISNUMBER(SEARCH($B42, FORECAST!$A$12:$A$475))) * (INT(FORECAST!$B$12:$B$475) &lt;= AG$34) * (INT(FORECAST!$C$12:$C$475) &gt;= AG$34), 0), 0)), "")</f>
        <v/>
      </c>
      <c r="AH42" s="9"/>
      <c r="AI42" s="2"/>
      <c r="AJ42" s="45">
        <f t="shared" si="2"/>
        <v>0.32258064516129031</v>
      </c>
    </row>
    <row r="43" spans="1:38" x14ac:dyDescent="0.25">
      <c r="AE43" s="9" t="str" cm="1">
        <f t="array" ref="AE43">IFERROR(INDEX(FORECAST!$E$12:$E$475, MATCH(1, INDEX((ISNUMBER(SEARCH($C43, FORECAST!$A$12:$A$475))) * (FORECAST!$B$12:$B$475 &lt;= AE$37) * (FORECAST!$C$12:$C$475 &gt;= AE$37), 0), 0)), "")</f>
        <v/>
      </c>
      <c r="AF43" s="9" t="str" cm="1">
        <f t="array" ref="AF43">IFERROR(INDEX(FORECAST!$E$12:$E$475, MATCH(1, INDEX((ISNUMBER(SEARCH($C43, FORECAST!$A$12:$A$475))) * (FORECAST!$B$12:$B$475 &lt;= AF$37) * (FORECAST!$C$12:$C$475 &gt;= AF$37), 0), 0)), "")</f>
        <v/>
      </c>
      <c r="AG43" s="9" t="str" cm="1">
        <f t="array" ref="AG43">IFERROR(INDEX(FORECAST!$E$12:$E$475, MATCH(1, INDEX((ISNUMBER(SEARCH($C43, FORECAST!$A$12:$A$475))) * (FORECAST!$B$12:$B$475 &lt;= AG$37) * (FORECAST!$C$12:$C$475 &gt;= AG$37), 0), 0)), "")</f>
        <v/>
      </c>
      <c r="AH43" s="9" t="str" cm="1">
        <f t="array" ref="AH43">IFERROR(INDEX(FORECAST!$E$12:$E$475, MATCH(1, INDEX((ISNUMBER(SEARCH($C43, FORECAST!$A$12:$A$475))) * (FORECAST!$B$12:$B$475 &lt;= AH$37) * (FORECAST!$C$12:$C$475 &gt;= AH$37), 0), 0)), "")</f>
        <v/>
      </c>
      <c r="AI43" s="2"/>
    </row>
    <row r="44" spans="1:38" x14ac:dyDescent="0.25">
      <c r="B44" s="2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9"/>
      <c r="AF44" s="9"/>
      <c r="AG44" s="9"/>
      <c r="AH44" s="9" t="str" cm="1">
        <f t="array" ref="AH44">IFERROR(INDEX(FORECAST!$E$12:$E$475, MATCH(1, INDEX((ISNUMBER(SEARCH($C44, FORECAST!$A$12:$A$475))) * (FORECAST!$B$12:$B$475 &lt;= AH$37) * (FORECAST!$C$12:$C$475 &gt;= AH$37), 0), 0)), "")</f>
        <v/>
      </c>
      <c r="AI44" s="2"/>
    </row>
    <row r="45" spans="1:38" x14ac:dyDescent="0.25">
      <c r="C45" s="1" t="s">
        <v>508</v>
      </c>
      <c r="D45" s="13" t="s">
        <v>502</v>
      </c>
      <c r="E45" s="13" t="s">
        <v>503</v>
      </c>
      <c r="F45" s="7" t="s">
        <v>504</v>
      </c>
      <c r="G45" s="7" t="s">
        <v>505</v>
      </c>
      <c r="H45" s="1" t="s">
        <v>506</v>
      </c>
      <c r="I45" s="1" t="s">
        <v>507</v>
      </c>
      <c r="J45" s="1" t="s">
        <v>508</v>
      </c>
      <c r="K45" s="1" t="s">
        <v>502</v>
      </c>
      <c r="L45" s="1" t="s">
        <v>503</v>
      </c>
      <c r="M45" s="7" t="s">
        <v>504</v>
      </c>
      <c r="N45" s="7" t="s">
        <v>505</v>
      </c>
      <c r="O45" s="16" t="s">
        <v>506</v>
      </c>
      <c r="P45" s="16" t="s">
        <v>507</v>
      </c>
      <c r="Q45" s="1" t="s">
        <v>508</v>
      </c>
      <c r="R45" s="1" t="s">
        <v>502</v>
      </c>
      <c r="S45" s="1" t="s">
        <v>503</v>
      </c>
      <c r="T45" s="7" t="s">
        <v>509</v>
      </c>
      <c r="U45" s="7" t="s">
        <v>510</v>
      </c>
      <c r="V45" s="1" t="s">
        <v>511</v>
      </c>
      <c r="W45" s="16" t="s">
        <v>512</v>
      </c>
      <c r="X45" s="1" t="s">
        <v>513</v>
      </c>
      <c r="Y45" s="1" t="s">
        <v>514</v>
      </c>
      <c r="Z45" s="1" t="s">
        <v>515</v>
      </c>
      <c r="AA45" s="7" t="s">
        <v>509</v>
      </c>
      <c r="AB45" s="24" t="s">
        <v>510</v>
      </c>
      <c r="AC45" s="16" t="s">
        <v>511</v>
      </c>
      <c r="AD45" s="1" t="s">
        <v>512</v>
      </c>
      <c r="AE45" s="1" t="s">
        <v>513</v>
      </c>
      <c r="AF45" s="1" t="s">
        <v>514</v>
      </c>
      <c r="AH45" s="9" t="str" cm="1">
        <f t="array" ref="AH45">IFERROR(INDEX(FORECAST!$E$12:$E$475, MATCH(1, INDEX((ISNUMBER(SEARCH(#REF!, FORECAST!$A$12:$A$475))) * (FORECAST!$B$12:$B$475 &lt;= AH$37) * (FORECAST!$C$12:$C$475 &gt;= AH$37), 0), 0)), "")</f>
        <v/>
      </c>
      <c r="AI45" s="2"/>
    </row>
    <row r="46" spans="1:38" x14ac:dyDescent="0.25">
      <c r="C46" s="61">
        <v>46113</v>
      </c>
      <c r="D46" s="61">
        <v>46114</v>
      </c>
      <c r="E46" s="61">
        <v>46115</v>
      </c>
      <c r="F46" s="61">
        <v>46116</v>
      </c>
      <c r="G46" s="61">
        <v>46117</v>
      </c>
      <c r="H46" s="61">
        <v>46118</v>
      </c>
      <c r="I46" s="61">
        <v>46119</v>
      </c>
      <c r="J46" s="61">
        <v>46120</v>
      </c>
      <c r="K46" s="61">
        <v>46121</v>
      </c>
      <c r="L46" s="61">
        <v>46122</v>
      </c>
      <c r="M46" s="61">
        <v>46123</v>
      </c>
      <c r="N46" s="61">
        <v>46124</v>
      </c>
      <c r="O46" s="61">
        <v>46125</v>
      </c>
      <c r="P46" s="61">
        <v>46126</v>
      </c>
      <c r="Q46" s="61">
        <v>46127</v>
      </c>
      <c r="R46" s="61">
        <v>46128</v>
      </c>
      <c r="S46" s="61">
        <v>46129</v>
      </c>
      <c r="T46" s="61">
        <v>46130</v>
      </c>
      <c r="U46" s="61">
        <v>46131</v>
      </c>
      <c r="V46" s="61">
        <v>46132</v>
      </c>
      <c r="W46" s="61">
        <v>46133</v>
      </c>
      <c r="X46" s="61">
        <v>46134</v>
      </c>
      <c r="Y46" s="61">
        <v>46135</v>
      </c>
      <c r="Z46" s="61">
        <v>46136</v>
      </c>
      <c r="AA46" s="61">
        <v>46137</v>
      </c>
      <c r="AB46" s="61">
        <v>46138</v>
      </c>
      <c r="AC46" s="61">
        <v>46139</v>
      </c>
      <c r="AD46" s="61">
        <v>46140</v>
      </c>
      <c r="AE46" s="61">
        <v>46141</v>
      </c>
      <c r="AF46" s="61">
        <v>46142</v>
      </c>
      <c r="AH46" s="2"/>
      <c r="AI46" s="2"/>
      <c r="AJ46" s="22" t="s">
        <v>516</v>
      </c>
    </row>
    <row r="47" spans="1:38" ht="15" customHeight="1" x14ac:dyDescent="0.25">
      <c r="A47" s="70" t="s">
        <v>526</v>
      </c>
      <c r="B47" s="26" t="s">
        <v>518</v>
      </c>
      <c r="C47" s="34" t="str" cm="1">
        <f t="array" ref="C47">IFERROR(INDEX(FORECAST!$D$12:$D$475, MATCH(1, INDEX((ISNUMBER(SEARCH($B47, FORECAST!$A$12:$A$475))) * (INT(FORECAST!$B$12:$B$475) &lt;= C$46) * (INT(FORECAST!$C$12:$C$475) &gt;= C$46), 0), 0)), "")</f>
        <v/>
      </c>
      <c r="D47" s="34" t="str" cm="1">
        <f t="array" ref="D47">IFERROR(INDEX(FORECAST!$D$12:$D$475, MATCH(1, INDEX((ISNUMBER(SEARCH($B47, FORECAST!$A$12:$A$475))) * (INT(FORECAST!$B$12:$B$475) &lt;= D$46) * (INT(FORECAST!$C$12:$C$475) &gt;= D$46), 0), 0)), "")</f>
        <v/>
      </c>
      <c r="E47" s="34" t="str" cm="1">
        <f t="array" ref="E47">IFERROR(INDEX(FORECAST!$D$12:$D$475, MATCH(1, INDEX((ISNUMBER(SEARCH($B47, FORECAST!$A$12:$A$475))) * (INT(FORECAST!$B$12:$B$475) &lt;= E$46) * (INT(FORECAST!$C$12:$C$475) &gt;= E$46), 0), 0)), "")</f>
        <v/>
      </c>
      <c r="F47" s="34" t="str" cm="1">
        <f t="array" ref="F47">IFERROR(INDEX(FORECAST!$D$12:$D$475, MATCH(1, INDEX((ISNUMBER(SEARCH($B47, FORECAST!$A$12:$A$475))) * (INT(FORECAST!$B$12:$B$475) &lt;= F$46) * (INT(FORECAST!$C$12:$C$475) &gt;= F$46), 0), 0)), "")</f>
        <v/>
      </c>
      <c r="G47" s="34" t="str" cm="1">
        <f t="array" ref="G47">IFERROR(INDEX(FORECAST!$D$12:$D$475, MATCH(1, INDEX((ISNUMBER(SEARCH($B47, FORECAST!$A$12:$A$475))) * (INT(FORECAST!$B$12:$B$475) &lt;= G$46) * (INT(FORECAST!$C$12:$C$475) &gt;= G$46), 0), 0)), "")</f>
        <v/>
      </c>
      <c r="H47" s="34" t="str" cm="1">
        <f t="array" ref="H47">IFERROR(INDEX(FORECAST!$D$12:$D$475, MATCH(1, INDEX((ISNUMBER(SEARCH($B47, FORECAST!$A$12:$A$475))) * (INT(FORECAST!$B$12:$B$475) &lt;= H$46) * (INT(FORECAST!$C$12:$C$475) &gt;= H$46), 0), 0)), "")</f>
        <v/>
      </c>
      <c r="I47" s="34" t="str" cm="1">
        <f t="array" ref="I47">IFERROR(INDEX(FORECAST!$D$12:$D$475, MATCH(1, INDEX((ISNUMBER(SEARCH($B47, FORECAST!$A$12:$A$475))) * (INT(FORECAST!$B$12:$B$475) &lt;= I$46) * (INT(FORECAST!$C$12:$C$475) &gt;= I$46), 0), 0)), "")</f>
        <v/>
      </c>
      <c r="J47" s="34" t="str" cm="1">
        <f t="array" ref="J47">IFERROR(INDEX(FORECAST!$D$12:$D$475, MATCH(1, INDEX((ISNUMBER(SEARCH($B47, FORECAST!$A$12:$A$475))) * (INT(FORECAST!$B$12:$B$475) &lt;= J$46) * (INT(FORECAST!$C$12:$C$475) &gt;= J$46), 0), 0)), "")</f>
        <v>Garantizado</v>
      </c>
      <c r="K47" s="34" t="str" cm="1">
        <f t="array" ref="K47">IFERROR(INDEX(FORECAST!$D$12:$D$475, MATCH(1, INDEX((ISNUMBER(SEARCH($B47, FORECAST!$A$12:$A$475))) * (INT(FORECAST!$B$12:$B$475) &lt;= K$46) * (INT(FORECAST!$C$12:$C$475) &gt;= K$46), 0), 0)), "")</f>
        <v>Garantizado</v>
      </c>
      <c r="L47" s="34" t="str" cm="1">
        <f t="array" ref="L47">IFERROR(INDEX(FORECAST!$D$12:$D$475, MATCH(1, INDEX((ISNUMBER(SEARCH($B47, FORECAST!$A$12:$A$475))) * (INT(FORECAST!$B$12:$B$475) &lt;= L$46) * (INT(FORECAST!$C$12:$C$475) &gt;= L$46), 0), 0)), "")</f>
        <v>Garantizado</v>
      </c>
      <c r="M47" s="34" t="str" cm="1">
        <f t="array" ref="M47">IFERROR(INDEX(FORECAST!$D$12:$D$475, MATCH(1, INDEX((ISNUMBER(SEARCH($B47, FORECAST!$A$12:$A$475))) * (INT(FORECAST!$B$12:$B$475) &lt;= M$46) * (INT(FORECAST!$C$12:$C$475) &gt;= M$46), 0), 0)), "")</f>
        <v>Garantizado</v>
      </c>
      <c r="N47" s="34" t="str" cm="1">
        <f t="array" ref="N47">IFERROR(INDEX(FORECAST!$D$12:$D$475, MATCH(1, INDEX((ISNUMBER(SEARCH($B47, FORECAST!$A$12:$A$475))) * (INT(FORECAST!$B$12:$B$475) &lt;= N$46) * (INT(FORECAST!$C$12:$C$475) &gt;= N$46), 0), 0)), "")</f>
        <v/>
      </c>
      <c r="O47" s="34" t="str" cm="1">
        <f t="array" ref="O47">IFERROR(INDEX(FORECAST!$D$12:$D$475, MATCH(1, INDEX((ISNUMBER(SEARCH($B47, FORECAST!$A$12:$A$475))) * (INT(FORECAST!$B$12:$B$475) &lt;= O$46) * (INT(FORECAST!$C$12:$C$475) &gt;= O$46), 0), 0)), "")</f>
        <v/>
      </c>
      <c r="P47" s="34" t="str" cm="1">
        <f t="array" ref="P47">IFERROR(INDEX(FORECAST!$D$12:$D$475, MATCH(1, INDEX((ISNUMBER(SEARCH($B47, FORECAST!$A$12:$A$475))) * (INT(FORECAST!$B$12:$B$475) &lt;= P$46) * (INT(FORECAST!$C$12:$C$475) &gt;= P$46), 0), 0)), "")</f>
        <v/>
      </c>
      <c r="Q47" s="34" t="str" cm="1">
        <f t="array" ref="Q47">IFERROR(INDEX(FORECAST!$D$12:$D$475, MATCH(1, INDEX((ISNUMBER(SEARCH($B47, FORECAST!$A$12:$A$475))) * (INT(FORECAST!$B$12:$B$475) &lt;= Q$46) * (INT(FORECAST!$C$12:$C$475) &gt;= Q$46), 0), 0)), "")</f>
        <v/>
      </c>
      <c r="R47" s="34" t="str" cm="1">
        <f t="array" ref="R47">IFERROR(INDEX(FORECAST!$D$12:$D$475, MATCH(1, INDEX((ISNUMBER(SEARCH($B47, FORECAST!$A$12:$A$475))) * (INT(FORECAST!$B$12:$B$475) &lt;= R$46) * (INT(FORECAST!$C$12:$C$475) &gt;= R$46), 0), 0)), "")</f>
        <v/>
      </c>
      <c r="S47" s="34" t="str" cm="1">
        <f t="array" ref="S47">IFERROR(INDEX(FORECAST!$D$12:$D$475, MATCH(1, INDEX((ISNUMBER(SEARCH($B47, FORECAST!$A$12:$A$475))) * (INT(FORECAST!$B$12:$B$475) &lt;= S$46) * (INT(FORECAST!$C$12:$C$475) &gt;= S$46), 0), 0)), "")</f>
        <v/>
      </c>
      <c r="T47" s="34" t="str" cm="1">
        <f t="array" ref="T47">IFERROR(INDEX(FORECAST!$D$12:$D$475, MATCH(1, INDEX((ISNUMBER(SEARCH($B47, FORECAST!$A$12:$A$475))) * (INT(FORECAST!$B$12:$B$475) &lt;= T$46) * (INT(FORECAST!$C$12:$C$475) &gt;= T$46), 0), 0)), "")</f>
        <v/>
      </c>
      <c r="U47" s="34" t="str" cm="1">
        <f t="array" ref="U47">IFERROR(INDEX(FORECAST!$D$12:$D$475, MATCH(1, INDEX((ISNUMBER(SEARCH($B47, FORECAST!$A$12:$A$475))) * (INT(FORECAST!$B$12:$B$475) &lt;= U$46) * (INT(FORECAST!$C$12:$C$475) &gt;= U$46), 0), 0)), "")</f>
        <v>Garantizado</v>
      </c>
      <c r="V47" s="34" t="str" cm="1">
        <f t="array" ref="V47">IFERROR(INDEX(FORECAST!$D$12:$D$475, MATCH(1, INDEX((ISNUMBER(SEARCH($B47, FORECAST!$A$12:$A$475))) * (INT(FORECAST!$B$12:$B$475) &lt;= V$46) * (INT(FORECAST!$C$12:$C$475) &gt;= V$46), 0), 0)), "")</f>
        <v>Garantizado</v>
      </c>
      <c r="W47" s="34" t="str" cm="1">
        <f t="array" ref="W47">IFERROR(INDEX(FORECAST!$D$12:$D$475, MATCH(1, INDEX((ISNUMBER(SEARCH($B47, FORECAST!$A$12:$A$475))) * (INT(FORECAST!$B$12:$B$475) &lt;= W$46) * (INT(FORECAST!$C$12:$C$475) &gt;= W$46), 0), 0)), "")</f>
        <v>Garantizado</v>
      </c>
      <c r="X47" s="34" t="str" cm="1">
        <f t="array" ref="X47">IFERROR(INDEX(FORECAST!$D$12:$D$475, MATCH(1, INDEX((ISNUMBER(SEARCH($B47, FORECAST!$A$12:$A$475))) * (INT(FORECAST!$B$12:$B$475) &lt;= X$46) * (INT(FORECAST!$C$12:$C$475) &gt;= X$46), 0), 0)), "")</f>
        <v>Garantizado</v>
      </c>
      <c r="Y47" s="34" t="str" cm="1">
        <f t="array" ref="Y47">IFERROR(INDEX(FORECAST!$D$12:$D$475, MATCH(1, INDEX((ISNUMBER(SEARCH($B47, FORECAST!$A$12:$A$475))) * (INT(FORECAST!$B$12:$B$475) &lt;= Y$46) * (INT(FORECAST!$C$12:$C$475) &gt;= Y$46), 0), 0)), "")</f>
        <v>Garantizado</v>
      </c>
      <c r="Z47" s="34" t="str" cm="1">
        <f t="array" ref="Z47">IFERROR(INDEX(FORECAST!$D$12:$D$475, MATCH(1, INDEX((ISNUMBER(SEARCH($B47, FORECAST!$A$12:$A$475))) * (INT(FORECAST!$B$12:$B$475) &lt;= Z$46) * (INT(FORECAST!$C$12:$C$475) &gt;= Z$46), 0), 0)), "")</f>
        <v>Garantizado</v>
      </c>
      <c r="AA47" s="34" t="str" cm="1">
        <f t="array" ref="AA47">IFERROR(INDEX(FORECAST!$D$12:$D$475, MATCH(1, INDEX((ISNUMBER(SEARCH($B47, FORECAST!$A$12:$A$475))) * (INT(FORECAST!$B$12:$B$475) &lt;= AA$46) * (INT(FORECAST!$C$12:$C$475) &gt;= AA$46), 0), 0)), "")</f>
        <v>Tentativo</v>
      </c>
      <c r="AB47" s="34" t="str" cm="1">
        <f t="array" ref="AB47">IFERROR(INDEX(FORECAST!$D$12:$D$475, MATCH(1, INDEX((ISNUMBER(SEARCH($B47, FORECAST!$A$12:$A$475))) * (INT(FORECAST!$B$12:$B$475) &lt;= AB$46) * (INT(FORECAST!$C$12:$C$475) &gt;= AB$46), 0), 0)), "")</f>
        <v/>
      </c>
      <c r="AC47" s="34" t="str" cm="1">
        <f t="array" ref="AC47">IFERROR(INDEX(FORECAST!$D$12:$D$475, MATCH(1, INDEX((ISNUMBER(SEARCH($B47, FORECAST!$A$12:$A$475))) * (INT(FORECAST!$B$12:$B$475) &lt;= AC$46) * (INT(FORECAST!$C$12:$C$475) &gt;= AC$46), 0), 0)), "")</f>
        <v/>
      </c>
      <c r="AD47" s="34" t="str" cm="1">
        <f t="array" ref="AD47">IFERROR(INDEX(FORECAST!$D$12:$D$475, MATCH(1, INDEX((ISNUMBER(SEARCH($B47, FORECAST!$A$12:$A$475))) * (INT(FORECAST!$B$12:$B$475) &lt;= AD$46) * (INT(FORECAST!$C$12:$C$475) &gt;= AD$46), 0), 0)), "")</f>
        <v/>
      </c>
      <c r="AE47" s="34" t="str" cm="1">
        <f t="array" ref="AE47">IFERROR(INDEX(FORECAST!$D$12:$D$475, MATCH(1, INDEX((ISNUMBER(SEARCH($B47, FORECAST!$A$12:$A$475))) * (INT(FORECAST!$B$12:$B$475) &lt;= AE$46) * (INT(FORECAST!$C$12:$C$475) &gt;= AE$46), 0), 0)), "")</f>
        <v>Garantizado</v>
      </c>
      <c r="AF47" s="34" t="str" cm="1">
        <f t="array" ref="AF47">IFERROR(INDEX(FORECAST!$D$12:$D$475, MATCH(1, INDEX((ISNUMBER(SEARCH($B47, FORECAST!$A$12:$A$475))) * (INT(FORECAST!$B$12:$B$475) &lt;= AF$46) * (INT(FORECAST!$C$12:$C$475) &gt;= AF$46), 0), 0)), "")</f>
        <v/>
      </c>
      <c r="AG47" s="16"/>
      <c r="AH47" s="2"/>
      <c r="AI47" s="2"/>
      <c r="AJ47" s="45">
        <f>COUNTIF(C47:AF47,"Garantizado")/30</f>
        <v>0.36666666666666664</v>
      </c>
    </row>
    <row r="48" spans="1:38" x14ac:dyDescent="0.25">
      <c r="A48" s="71"/>
      <c r="B48" s="26" t="s">
        <v>519</v>
      </c>
      <c r="C48" s="34" t="str" cm="1">
        <f t="array" ref="C48">IFERROR(INDEX(FORECAST!$D$12:$D$475, MATCH(1, INDEX((ISNUMBER(SEARCH($B48, FORECAST!$A$12:$A$475))) * (INT(FORECAST!$B$12:$B$475) &lt;= C$46) * (INT(FORECAST!$C$12:$C$475) &gt;= C$46), 0), 0)), "")</f>
        <v/>
      </c>
      <c r="D48" s="34" t="str" cm="1">
        <f t="array" ref="D48">IFERROR(INDEX(FORECAST!$D$12:$D$475, MATCH(1, INDEX((ISNUMBER(SEARCH($B48, FORECAST!$A$12:$A$475))) * (INT(FORECAST!$B$12:$B$475) &lt;= D$46) * (INT(FORECAST!$C$12:$C$475) &gt;= D$46), 0), 0)), "")</f>
        <v/>
      </c>
      <c r="E48" s="34" t="str" cm="1">
        <f t="array" ref="E48">IFERROR(INDEX(FORECAST!$D$12:$D$475, MATCH(1, INDEX((ISNUMBER(SEARCH($B48, FORECAST!$A$12:$A$475))) * (INT(FORECAST!$B$12:$B$475) &lt;= E$46) * (INT(FORECAST!$C$12:$C$475) &gt;= E$46), 0), 0)), "")</f>
        <v/>
      </c>
      <c r="F48" s="34" t="str" cm="1">
        <f t="array" ref="F48">IFERROR(INDEX(FORECAST!$D$12:$D$475, MATCH(1, INDEX((ISNUMBER(SEARCH($B48, FORECAST!$A$12:$A$475))) * (INT(FORECAST!$B$12:$B$475) &lt;= F$46) * (INT(FORECAST!$C$12:$C$475) &gt;= F$46), 0), 0)), "")</f>
        <v/>
      </c>
      <c r="G48" s="34" t="str" cm="1">
        <f t="array" ref="G48">IFERROR(INDEX(FORECAST!$D$12:$D$475, MATCH(1, INDEX((ISNUMBER(SEARCH($B48, FORECAST!$A$12:$A$475))) * (INT(FORECAST!$B$12:$B$475) &lt;= G$46) * (INT(FORECAST!$C$12:$C$475) &gt;= G$46), 0), 0)), "")</f>
        <v/>
      </c>
      <c r="H48" s="34" t="str" cm="1">
        <f t="array" ref="H48">IFERROR(INDEX(FORECAST!$D$12:$D$475, MATCH(1, INDEX((ISNUMBER(SEARCH($B48, FORECAST!$A$12:$A$475))) * (INT(FORECAST!$B$12:$B$475) &lt;= H$46) * (INT(FORECAST!$C$12:$C$475) &gt;= H$46), 0), 0)), "")</f>
        <v/>
      </c>
      <c r="I48" s="34" t="str" cm="1">
        <f t="array" ref="I48">IFERROR(INDEX(FORECAST!$D$12:$D$475, MATCH(1, INDEX((ISNUMBER(SEARCH($B48, FORECAST!$A$12:$A$475))) * (INT(FORECAST!$B$12:$B$475) &lt;= I$46) * (INT(FORECAST!$C$12:$C$475) &gt;= I$46), 0), 0)), "")</f>
        <v>Garantizado</v>
      </c>
      <c r="J48" s="34" t="str" cm="1">
        <f t="array" ref="J48">IFERROR(INDEX(FORECAST!$D$12:$D$475, MATCH(1, INDEX((ISNUMBER(SEARCH($B48, FORECAST!$A$12:$A$475))) * (INT(FORECAST!$B$12:$B$475) &lt;= J$46) * (INT(FORECAST!$C$12:$C$475) &gt;= J$46), 0), 0)), "")</f>
        <v>Garantizado</v>
      </c>
      <c r="K48" s="34" t="str" cm="1">
        <f t="array" ref="K48">IFERROR(INDEX(FORECAST!$D$12:$D$475, MATCH(1, INDEX((ISNUMBER(SEARCH($B48, FORECAST!$A$12:$A$475))) * (INT(FORECAST!$B$12:$B$475) &lt;= K$46) * (INT(FORECAST!$C$12:$C$475) &gt;= K$46), 0), 0)), "")</f>
        <v>Garantizado</v>
      </c>
      <c r="L48" s="34" t="str" cm="1">
        <f t="array" ref="L48">IFERROR(INDEX(FORECAST!$D$12:$D$475, MATCH(1, INDEX((ISNUMBER(SEARCH($B48, FORECAST!$A$12:$A$475))) * (INT(FORECAST!$B$12:$B$475) &lt;= L$46) * (INT(FORECAST!$C$12:$C$475) &gt;= L$46), 0), 0)), "")</f>
        <v>Garantizado</v>
      </c>
      <c r="M48" s="34" t="str" cm="1">
        <f t="array" ref="M48">IFERROR(INDEX(FORECAST!$D$12:$D$475, MATCH(1, INDEX((ISNUMBER(SEARCH($B48, FORECAST!$A$12:$A$475))) * (INT(FORECAST!$B$12:$B$475) &lt;= M$46) * (INT(FORECAST!$C$12:$C$475) &gt;= M$46), 0), 0)), "")</f>
        <v>Garantizado</v>
      </c>
      <c r="N48" s="34" t="str" cm="1">
        <f t="array" ref="N48">IFERROR(INDEX(FORECAST!$D$12:$D$475, MATCH(1, INDEX((ISNUMBER(SEARCH($B48, FORECAST!$A$12:$A$475))) * (INT(FORECAST!$B$12:$B$475) &lt;= N$46) * (INT(FORECAST!$C$12:$C$475) &gt;= N$46), 0), 0)), "")</f>
        <v/>
      </c>
      <c r="O48" s="34" t="str" cm="1">
        <f t="array" ref="O48">IFERROR(INDEX(FORECAST!$D$12:$D$475, MATCH(1, INDEX((ISNUMBER(SEARCH($B48, FORECAST!$A$12:$A$475))) * (INT(FORECAST!$B$12:$B$475) &lt;= O$46) * (INT(FORECAST!$C$12:$C$475) &gt;= O$46), 0), 0)), "")</f>
        <v/>
      </c>
      <c r="P48" s="34" t="str" cm="1">
        <f t="array" ref="P48">IFERROR(INDEX(FORECAST!$D$12:$D$475, MATCH(1, INDEX((ISNUMBER(SEARCH($B48, FORECAST!$A$12:$A$475))) * (INT(FORECAST!$B$12:$B$475) &lt;= P$46) * (INT(FORECAST!$C$12:$C$475) &gt;= P$46), 0), 0)), "")</f>
        <v/>
      </c>
      <c r="Q48" s="34" t="str" cm="1">
        <f t="array" ref="Q48">IFERROR(INDEX(FORECAST!$D$12:$D$475, MATCH(1, INDEX((ISNUMBER(SEARCH($B48, FORECAST!$A$12:$A$475))) * (INT(FORECAST!$B$12:$B$475) &lt;= Q$46) * (INT(FORECAST!$C$12:$C$475) &gt;= Q$46), 0), 0)), "")</f>
        <v>Presupuesto</v>
      </c>
      <c r="R48" s="34" t="str" cm="1">
        <f t="array" ref="R48">IFERROR(INDEX(FORECAST!$D$12:$D$475, MATCH(1, INDEX((ISNUMBER(SEARCH($B48, FORECAST!$A$12:$A$475))) * (INT(FORECAST!$B$12:$B$475) &lt;= R$46) * (INT(FORECAST!$C$12:$C$475) &gt;= R$46), 0), 0)), "")</f>
        <v/>
      </c>
      <c r="S48" s="34" t="str" cm="1">
        <f t="array" ref="S48">IFERROR(INDEX(FORECAST!$D$12:$D$475, MATCH(1, INDEX((ISNUMBER(SEARCH($B48, FORECAST!$A$12:$A$475))) * (INT(FORECAST!$B$12:$B$475) &lt;= S$46) * (INT(FORECAST!$C$12:$C$475) &gt;= S$46), 0), 0)), "")</f>
        <v>Garantizado</v>
      </c>
      <c r="T48" s="34" t="str" cm="1">
        <f t="array" ref="T48">IFERROR(INDEX(FORECAST!$D$12:$D$475, MATCH(1, INDEX((ISNUMBER(SEARCH($B48, FORECAST!$A$12:$A$475))) * (INT(FORECAST!$B$12:$B$475) &lt;= T$46) * (INT(FORECAST!$C$12:$C$475) &gt;= T$46), 0), 0)), "")</f>
        <v>Garantizado</v>
      </c>
      <c r="U48" s="34" t="str" cm="1">
        <f t="array" ref="U48">IFERROR(INDEX(FORECAST!$D$12:$D$475, MATCH(1, INDEX((ISNUMBER(SEARCH($B48, FORECAST!$A$12:$A$475))) * (INT(FORECAST!$B$12:$B$475) &lt;= U$46) * (INT(FORECAST!$C$12:$C$475) &gt;= U$46), 0), 0)), "")</f>
        <v/>
      </c>
      <c r="V48" s="34" t="str" cm="1">
        <f t="array" ref="V48">IFERROR(INDEX(FORECAST!$D$12:$D$475, MATCH(1, INDEX((ISNUMBER(SEARCH($B48, FORECAST!$A$12:$A$475))) * (INT(FORECAST!$B$12:$B$475) &lt;= V$46) * (INT(FORECAST!$C$12:$C$475) &gt;= V$46), 0), 0)), "")</f>
        <v/>
      </c>
      <c r="W48" s="34" t="str" cm="1">
        <f t="array" ref="W48">IFERROR(INDEX(FORECAST!$D$12:$D$475, MATCH(1, INDEX((ISNUMBER(SEARCH($B48, FORECAST!$A$12:$A$475))) * (INT(FORECAST!$B$12:$B$475) &lt;= W$46) * (INT(FORECAST!$C$12:$C$475) &gt;= W$46), 0), 0)), "")</f>
        <v/>
      </c>
      <c r="X48" s="34" t="str" cm="1">
        <f t="array" ref="X48">IFERROR(INDEX(FORECAST!$D$12:$D$475, MATCH(1, INDEX((ISNUMBER(SEARCH($B48, FORECAST!$A$12:$A$475))) * (INT(FORECAST!$B$12:$B$475) &lt;= X$46) * (INT(FORECAST!$C$12:$C$475) &gt;= X$46), 0), 0)), "")</f>
        <v>Garantizado</v>
      </c>
      <c r="Y48" s="34" t="str" cm="1">
        <f t="array" ref="Y48">IFERROR(INDEX(FORECAST!$D$12:$D$475, MATCH(1, INDEX((ISNUMBER(SEARCH($B48, FORECAST!$A$12:$A$475))) * (INT(FORECAST!$B$12:$B$475) &lt;= Y$46) * (INT(FORECAST!$C$12:$C$475) &gt;= Y$46), 0), 0)), "")</f>
        <v>Garantizado</v>
      </c>
      <c r="Z48" s="34" t="str" cm="1">
        <f t="array" ref="Z48">IFERROR(INDEX(FORECAST!$D$12:$D$475, MATCH(1, INDEX((ISNUMBER(SEARCH($B48, FORECAST!$A$12:$A$475))) * (INT(FORECAST!$B$12:$B$475) &lt;= Z$46) * (INT(FORECAST!$C$12:$C$475) &gt;= Z$46), 0), 0)), "")</f>
        <v>Garantizado</v>
      </c>
      <c r="AA48" s="34" t="str" cm="1">
        <f t="array" ref="AA48">IFERROR(INDEX(FORECAST!$D$12:$D$475, MATCH(1, INDEX((ISNUMBER(SEARCH($B48, FORECAST!$A$12:$A$475))) * (INT(FORECAST!$B$12:$B$475) &lt;= AA$46) * (INT(FORECAST!$C$12:$C$475) &gt;= AA$46), 0), 0)), "")</f>
        <v/>
      </c>
      <c r="AB48" s="34" t="str" cm="1">
        <f t="array" ref="AB48">IFERROR(INDEX(FORECAST!$D$12:$D$475, MATCH(1, INDEX((ISNUMBER(SEARCH($B48, FORECAST!$A$12:$A$475))) * (INT(FORECAST!$B$12:$B$475) &lt;= AB$46) * (INT(FORECAST!$C$12:$C$475) &gt;= AB$46), 0), 0)), "")</f>
        <v/>
      </c>
      <c r="AC48" s="34" t="str" cm="1">
        <f t="array" ref="AC48">IFERROR(INDEX(FORECAST!$D$12:$D$475, MATCH(1, INDEX((ISNUMBER(SEARCH($B48, FORECAST!$A$12:$A$475))) * (INT(FORECAST!$B$12:$B$475) &lt;= AC$46) * (INT(FORECAST!$C$12:$C$475) &gt;= AC$46), 0), 0)), "")</f>
        <v/>
      </c>
      <c r="AD48" s="34" t="str" cm="1">
        <f t="array" ref="AD48">IFERROR(INDEX(FORECAST!$D$12:$D$475, MATCH(1, INDEX((ISNUMBER(SEARCH($B48, FORECAST!$A$12:$A$475))) * (INT(FORECAST!$B$12:$B$475) &lt;= AD$46) * (INT(FORECAST!$C$12:$C$475) &gt;= AD$46), 0), 0)), "")</f>
        <v>Garantizado</v>
      </c>
      <c r="AE48" s="34" t="str" cm="1">
        <f t="array" ref="AE48">IFERROR(INDEX(FORECAST!$D$12:$D$475, MATCH(1, INDEX((ISNUMBER(SEARCH($B48, FORECAST!$A$12:$A$475))) * (INT(FORECAST!$B$12:$B$475) &lt;= AE$46) * (INT(FORECAST!$C$12:$C$475) &gt;= AE$46), 0), 0)), "")</f>
        <v>Garantizado</v>
      </c>
      <c r="AF48" s="34" t="str" cm="1">
        <f t="array" ref="AF48">IFERROR(INDEX(FORECAST!$D$12:$D$475, MATCH(1, INDEX((ISNUMBER(SEARCH($B48, FORECAST!$A$12:$A$475))) * (INT(FORECAST!$B$12:$B$475) &lt;= AF$46) * (INT(FORECAST!$C$12:$C$475) &gt;= AF$46), 0), 0)), "")</f>
        <v>Garantizado</v>
      </c>
      <c r="AG48" s="2"/>
      <c r="AH48" s="2"/>
      <c r="AI48" s="2"/>
      <c r="AJ48" s="45">
        <f t="shared" ref="AJ48:AJ54" si="3">COUNTIF(C48:AF48,"Garantizado")/30</f>
        <v>0.43333333333333335</v>
      </c>
      <c r="AL48" s="30" t="s">
        <v>520</v>
      </c>
    </row>
    <row r="49" spans="1:38" x14ac:dyDescent="0.25">
      <c r="A49" s="71"/>
      <c r="B49" s="26" t="s">
        <v>279</v>
      </c>
      <c r="C49" s="34" t="str" cm="1">
        <f t="array" ref="C49">IFERROR(INDEX(FORECAST!$D$12:$D$475, MATCH(1, INDEX((ISNUMBER(SEARCH($B49, FORECAST!$A$12:$A$475))) * (INT(FORECAST!$B$12:$B$475) &lt;= C$46) * (INT(FORECAST!$C$12:$C$475) &gt;= C$46), 0), 0)), "")</f>
        <v/>
      </c>
      <c r="D49" s="34" t="str" cm="1">
        <f t="array" ref="D49">IFERROR(INDEX(FORECAST!$D$12:$D$475, MATCH(1, INDEX((ISNUMBER(SEARCH($B49, FORECAST!$A$12:$A$475))) * (INT(FORECAST!$B$12:$B$475) &lt;= D$46) * (INT(FORECAST!$C$12:$C$475) &gt;= D$46), 0), 0)), "")</f>
        <v/>
      </c>
      <c r="E49" s="34" t="str" cm="1">
        <f t="array" ref="E49">IFERROR(INDEX(FORECAST!$D$12:$D$475, MATCH(1, INDEX((ISNUMBER(SEARCH($B49, FORECAST!$A$12:$A$475))) * (INT(FORECAST!$B$12:$B$475) &lt;= E$46) * (INT(FORECAST!$C$12:$C$475) &gt;= E$46), 0), 0)), "")</f>
        <v/>
      </c>
      <c r="F49" s="34" t="str" cm="1">
        <f t="array" ref="F49">IFERROR(INDEX(FORECAST!$D$12:$D$475, MATCH(1, INDEX((ISNUMBER(SEARCH($B49, FORECAST!$A$12:$A$475))) * (INT(FORECAST!$B$12:$B$475) &lt;= F$46) * (INT(FORECAST!$C$12:$C$475) &gt;= F$46), 0), 0)), "")</f>
        <v/>
      </c>
      <c r="G49" s="34" t="str" cm="1">
        <f t="array" ref="G49">IFERROR(INDEX(FORECAST!$D$12:$D$475, MATCH(1, INDEX((ISNUMBER(SEARCH($B49, FORECAST!$A$12:$A$475))) * (INT(FORECAST!$B$12:$B$475) &lt;= G$46) * (INT(FORECAST!$C$12:$C$475) &gt;= G$46), 0), 0)), "")</f>
        <v/>
      </c>
      <c r="H49" s="34" t="str" cm="1">
        <f t="array" ref="H49">IFERROR(INDEX(FORECAST!$D$12:$D$475, MATCH(1, INDEX((ISNUMBER(SEARCH($B49, FORECAST!$A$12:$A$475))) * (INT(FORECAST!$B$12:$B$475) &lt;= H$46) * (INT(FORECAST!$C$12:$C$475) &gt;= H$46), 0), 0)), "")</f>
        <v/>
      </c>
      <c r="I49" s="34" t="str" cm="1">
        <f t="array" ref="I49">IFERROR(INDEX(FORECAST!$D$12:$D$475, MATCH(1, INDEX((ISNUMBER(SEARCH($B49, FORECAST!$A$12:$A$475))) * (INT(FORECAST!$B$12:$B$475) &lt;= I$46) * (INT(FORECAST!$C$12:$C$475) &gt;= I$46), 0), 0)), "")</f>
        <v/>
      </c>
      <c r="J49" s="34" t="str" cm="1">
        <f t="array" ref="J49">IFERROR(INDEX(FORECAST!$D$12:$D$475, MATCH(1, INDEX((ISNUMBER(SEARCH($B49, FORECAST!$A$12:$A$475))) * (INT(FORECAST!$B$12:$B$475) &lt;= J$46) * (INT(FORECAST!$C$12:$C$475) &gt;= J$46), 0), 0)), "")</f>
        <v/>
      </c>
      <c r="K49" s="34" t="str" cm="1">
        <f t="array" ref="K49">IFERROR(INDEX(FORECAST!$D$12:$D$475, MATCH(1, INDEX((ISNUMBER(SEARCH($B49, FORECAST!$A$12:$A$475))) * (INT(FORECAST!$B$12:$B$475) &lt;= K$46) * (INT(FORECAST!$C$12:$C$475) &gt;= K$46), 0), 0)), "")</f>
        <v/>
      </c>
      <c r="L49" s="34" t="str" cm="1">
        <f t="array" ref="L49">IFERROR(INDEX(FORECAST!$D$12:$D$475, MATCH(1, INDEX((ISNUMBER(SEARCH($B49, FORECAST!$A$12:$A$475))) * (INT(FORECAST!$B$12:$B$475) &lt;= L$46) * (INT(FORECAST!$C$12:$C$475) &gt;= L$46), 0), 0)), "")</f>
        <v>Garantizado</v>
      </c>
      <c r="M49" s="34" t="str" cm="1">
        <f t="array" ref="M49">IFERROR(INDEX(FORECAST!$D$12:$D$475, MATCH(1, INDEX((ISNUMBER(SEARCH($B49, FORECAST!$A$12:$A$475))) * (INT(FORECAST!$B$12:$B$475) &lt;= M$46) * (INT(FORECAST!$C$12:$C$475) &gt;= M$46), 0), 0)), "")</f>
        <v>Garantizado</v>
      </c>
      <c r="N49" s="34" t="str" cm="1">
        <f t="array" ref="N49">IFERROR(INDEX(FORECAST!$D$12:$D$475, MATCH(1, INDEX((ISNUMBER(SEARCH($B49, FORECAST!$A$12:$A$475))) * (INT(FORECAST!$B$12:$B$475) &lt;= N$46) * (INT(FORECAST!$C$12:$C$475) &gt;= N$46), 0), 0)), "")</f>
        <v/>
      </c>
      <c r="O49" s="34" t="str" cm="1">
        <f t="array" ref="O49">IFERROR(INDEX(FORECAST!$D$12:$D$475, MATCH(1, INDEX((ISNUMBER(SEARCH($B49, FORECAST!$A$12:$A$475))) * (INT(FORECAST!$B$12:$B$475) &lt;= O$46) * (INT(FORECAST!$C$12:$C$475) &gt;= O$46), 0), 0)), "")</f>
        <v/>
      </c>
      <c r="P49" s="34" t="str" cm="1">
        <f t="array" ref="P49">IFERROR(INDEX(FORECAST!$D$12:$D$475, MATCH(1, INDEX((ISNUMBER(SEARCH($B49, FORECAST!$A$12:$A$475))) * (INT(FORECAST!$B$12:$B$475) &lt;= P$46) * (INT(FORECAST!$C$12:$C$475) &gt;= P$46), 0), 0)), "")</f>
        <v/>
      </c>
      <c r="Q49" s="34" t="str" cm="1">
        <f t="array" ref="Q49">IFERROR(INDEX(FORECAST!$D$12:$D$475, MATCH(1, INDEX((ISNUMBER(SEARCH($B49, FORECAST!$A$12:$A$475))) * (INT(FORECAST!$B$12:$B$475) &lt;= Q$46) * (INT(FORECAST!$C$12:$C$475) &gt;= Q$46), 0), 0)), "")</f>
        <v/>
      </c>
      <c r="R49" s="34" t="str" cm="1">
        <f t="array" ref="R49">IFERROR(INDEX(FORECAST!$D$12:$D$475, MATCH(1, INDEX((ISNUMBER(SEARCH($B49, FORECAST!$A$12:$A$475))) * (INT(FORECAST!$B$12:$B$475) &lt;= R$46) * (INT(FORECAST!$C$12:$C$475) &gt;= R$46), 0), 0)), "")</f>
        <v/>
      </c>
      <c r="S49" s="34" t="str" cm="1">
        <f t="array" ref="S49">IFERROR(INDEX(FORECAST!$D$12:$D$475, MATCH(1, INDEX((ISNUMBER(SEARCH($B49, FORECAST!$A$12:$A$475))) * (INT(FORECAST!$B$12:$B$475) &lt;= S$46) * (INT(FORECAST!$C$12:$C$475) &gt;= S$46), 0), 0)), "")</f>
        <v/>
      </c>
      <c r="T49" s="34" t="str" cm="1">
        <f t="array" ref="T49">IFERROR(INDEX(FORECAST!$D$12:$D$475, MATCH(1, INDEX((ISNUMBER(SEARCH($B49, FORECAST!$A$12:$A$475))) * (INT(FORECAST!$B$12:$B$475) &lt;= T$46) * (INT(FORECAST!$C$12:$C$475) &gt;= T$46), 0), 0)), "")</f>
        <v/>
      </c>
      <c r="U49" s="34" t="str" cm="1">
        <f t="array" ref="U49">IFERROR(INDEX(FORECAST!$D$12:$D$475, MATCH(1, INDEX((ISNUMBER(SEARCH($B49, FORECAST!$A$12:$A$475))) * (INT(FORECAST!$B$12:$B$475) &lt;= U$46) * (INT(FORECAST!$C$12:$C$475) &gt;= U$46), 0), 0)), "")</f>
        <v/>
      </c>
      <c r="V49" s="34" t="str" cm="1">
        <f t="array" ref="V49">IFERROR(INDEX(FORECAST!$D$12:$D$475, MATCH(1, INDEX((ISNUMBER(SEARCH($B49, FORECAST!$A$12:$A$475))) * (INT(FORECAST!$B$12:$B$475) &lt;= V$46) * (INT(FORECAST!$C$12:$C$475) &gt;= V$46), 0), 0)), "")</f>
        <v/>
      </c>
      <c r="W49" s="34" t="str" cm="1">
        <f t="array" ref="W49">IFERROR(INDEX(FORECAST!$D$12:$D$475, MATCH(1, INDEX((ISNUMBER(SEARCH($B49, FORECAST!$A$12:$A$475))) * (INT(FORECAST!$B$12:$B$475) &lt;= W$46) * (INT(FORECAST!$C$12:$C$475) &gt;= W$46), 0), 0)), "")</f>
        <v/>
      </c>
      <c r="X49" s="34" t="str" cm="1">
        <f t="array" ref="X49">IFERROR(INDEX(FORECAST!$D$12:$D$475, MATCH(1, INDEX((ISNUMBER(SEARCH($B49, FORECAST!$A$12:$A$475))) * (INT(FORECAST!$B$12:$B$475) &lt;= X$46) * (INT(FORECAST!$C$12:$C$475) &gt;= X$46), 0), 0)), "")</f>
        <v>Garantizado</v>
      </c>
      <c r="Y49" s="34" t="str" cm="1">
        <f t="array" ref="Y49">IFERROR(INDEX(FORECAST!$D$12:$D$475, MATCH(1, INDEX((ISNUMBER(SEARCH($B49, FORECAST!$A$12:$A$475))) * (INT(FORECAST!$B$12:$B$475) &lt;= Y$46) * (INT(FORECAST!$C$12:$C$475) &gt;= Y$46), 0), 0)), "")</f>
        <v>Garantizado</v>
      </c>
      <c r="Z49" s="34" t="str" cm="1">
        <f t="array" ref="Z49">IFERROR(INDEX(FORECAST!$D$12:$D$475, MATCH(1, INDEX((ISNUMBER(SEARCH($B49, FORECAST!$A$12:$A$475))) * (INT(FORECAST!$B$12:$B$475) &lt;= Z$46) * (INT(FORECAST!$C$12:$C$475) &gt;= Z$46), 0), 0)), "")</f>
        <v>Garantizado</v>
      </c>
      <c r="AA49" s="34" t="str" cm="1">
        <f t="array" ref="AA49">IFERROR(INDEX(FORECAST!$D$12:$D$475, MATCH(1, INDEX((ISNUMBER(SEARCH($B49, FORECAST!$A$12:$A$475))) * (INT(FORECAST!$B$12:$B$475) &lt;= AA$46) * (INT(FORECAST!$C$12:$C$475) &gt;= AA$46), 0), 0)), "")</f>
        <v/>
      </c>
      <c r="AB49" s="34" t="str" cm="1">
        <f t="array" ref="AB49">IFERROR(INDEX(FORECAST!$D$12:$D$475, MATCH(1, INDEX((ISNUMBER(SEARCH($B49, FORECAST!$A$12:$A$475))) * (INT(FORECAST!$B$12:$B$475) &lt;= AB$46) * (INT(FORECAST!$C$12:$C$475) &gt;= AB$46), 0), 0)), "")</f>
        <v/>
      </c>
      <c r="AC49" s="34" t="str" cm="1">
        <f t="array" ref="AC49">IFERROR(INDEX(FORECAST!$D$12:$D$475, MATCH(1, INDEX((ISNUMBER(SEARCH($B49, FORECAST!$A$12:$A$475))) * (INT(FORECAST!$B$12:$B$475) &lt;= AC$46) * (INT(FORECAST!$C$12:$C$475) &gt;= AC$46), 0), 0)), "")</f>
        <v/>
      </c>
      <c r="AD49" s="34" t="str" cm="1">
        <f t="array" ref="AD49">IFERROR(INDEX(FORECAST!$D$12:$D$475, MATCH(1, INDEX((ISNUMBER(SEARCH($B49, FORECAST!$A$12:$A$475))) * (INT(FORECAST!$B$12:$B$475) &lt;= AD$46) * (INT(FORECAST!$C$12:$C$475) &gt;= AD$46), 0), 0)), "")</f>
        <v/>
      </c>
      <c r="AE49" s="34" t="str" cm="1">
        <f t="array" ref="AE49">IFERROR(INDEX(FORECAST!$D$12:$D$475, MATCH(1, INDEX((ISNUMBER(SEARCH($B49, FORECAST!$A$12:$A$475))) * (INT(FORECAST!$B$12:$B$475) &lt;= AE$46) * (INT(FORECAST!$C$12:$C$475) &gt;= AE$46), 0), 0)), "")</f>
        <v/>
      </c>
      <c r="AF49" s="34" t="str" cm="1">
        <f t="array" ref="AF49">IFERROR(INDEX(FORECAST!$D$12:$D$475, MATCH(1, INDEX((ISNUMBER(SEARCH($B49, FORECAST!$A$12:$A$475))) * (INT(FORECAST!$B$12:$B$475) &lt;= AF$46) * (INT(FORECAST!$C$12:$C$475) &gt;= AF$46), 0), 0)), "")</f>
        <v>Garantizado</v>
      </c>
      <c r="AG49" s="9"/>
      <c r="AH49" s="2"/>
      <c r="AI49" s="2"/>
      <c r="AJ49" s="45">
        <f t="shared" si="3"/>
        <v>0.2</v>
      </c>
      <c r="AL49" s="45">
        <f>COUNTIF('PLANNING 2026'!C47:AF53,"Garantizado")/COUNTA('PLANNING 2026'!C47:AF53)</f>
        <v>0.28095238095238095</v>
      </c>
    </row>
    <row r="50" spans="1:38" x14ac:dyDescent="0.25">
      <c r="A50" s="71"/>
      <c r="B50" s="26" t="s">
        <v>521</v>
      </c>
      <c r="C50" s="34" t="str" cm="1">
        <f t="array" ref="C50">IFERROR(INDEX(FORECAST!$D$12:$D$475, MATCH(1, INDEX((ISNUMBER(SEARCH($B50, FORECAST!$A$12:$A$475))) * (INT(FORECAST!$B$12:$B$475) &lt;= C$46) * (INT(FORECAST!$C$12:$C$475) &gt;= C$46), 0), 0)), "")</f>
        <v/>
      </c>
      <c r="D50" s="34" t="str" cm="1">
        <f t="array" ref="D50">IFERROR(INDEX(FORECAST!$D$12:$D$475, MATCH(1, INDEX((ISNUMBER(SEARCH($B50, FORECAST!$A$12:$A$475))) * (INT(FORECAST!$B$12:$B$475) &lt;= D$46) * (INT(FORECAST!$C$12:$C$475) &gt;= D$46), 0), 0)), "")</f>
        <v/>
      </c>
      <c r="E50" s="34" t="str" cm="1">
        <f t="array" ref="E50">IFERROR(INDEX(FORECAST!$D$12:$D$475, MATCH(1, INDEX((ISNUMBER(SEARCH($B50, FORECAST!$A$12:$A$475))) * (INT(FORECAST!$B$12:$B$475) &lt;= E$46) * (INT(FORECAST!$C$12:$C$475) &gt;= E$46), 0), 0)), "")</f>
        <v/>
      </c>
      <c r="F50" s="34" t="str" cm="1">
        <f t="array" ref="F50">IFERROR(INDEX(FORECAST!$D$12:$D$475, MATCH(1, INDEX((ISNUMBER(SEARCH($B50, FORECAST!$A$12:$A$475))) * (INT(FORECAST!$B$12:$B$475) &lt;= F$46) * (INT(FORECAST!$C$12:$C$475) &gt;= F$46), 0), 0)), "")</f>
        <v/>
      </c>
      <c r="G50" s="34" t="str" cm="1">
        <f t="array" ref="G50">IFERROR(INDEX(FORECAST!$D$12:$D$475, MATCH(1, INDEX((ISNUMBER(SEARCH($B50, FORECAST!$A$12:$A$475))) * (INT(FORECAST!$B$12:$B$475) &lt;= G$46) * (INT(FORECAST!$C$12:$C$475) &gt;= G$46), 0), 0)), "")</f>
        <v/>
      </c>
      <c r="H50" s="34" t="str" cm="1">
        <f t="array" ref="H50">IFERROR(INDEX(FORECAST!$D$12:$D$475, MATCH(1, INDEX((ISNUMBER(SEARCH($B50, FORECAST!$A$12:$A$475))) * (INT(FORECAST!$B$12:$B$475) &lt;= H$46) * (INT(FORECAST!$C$12:$C$475) &gt;= H$46), 0), 0)), "")</f>
        <v/>
      </c>
      <c r="I50" s="34" t="str" cm="1">
        <f t="array" ref="I50">IFERROR(INDEX(FORECAST!$D$12:$D$475, MATCH(1, INDEX((ISNUMBER(SEARCH($B50, FORECAST!$A$12:$A$475))) * (INT(FORECAST!$B$12:$B$475) &lt;= I$46) * (INT(FORECAST!$C$12:$C$475) &gt;= I$46), 0), 0)), "")</f>
        <v/>
      </c>
      <c r="J50" s="34" t="str" cm="1">
        <f t="array" ref="J50">IFERROR(INDEX(FORECAST!$D$12:$D$475, MATCH(1, INDEX((ISNUMBER(SEARCH($B50, FORECAST!$A$12:$A$475))) * (INT(FORECAST!$B$12:$B$475) &lt;= J$46) * (INT(FORECAST!$C$12:$C$475) &gt;= J$46), 0), 0)), "")</f>
        <v/>
      </c>
      <c r="K50" s="34" t="str" cm="1">
        <f t="array" ref="K50">IFERROR(INDEX(FORECAST!$D$12:$D$475, MATCH(1, INDEX((ISNUMBER(SEARCH($B50, FORECAST!$A$12:$A$475))) * (INT(FORECAST!$B$12:$B$475) &lt;= K$46) * (INT(FORECAST!$C$12:$C$475) &gt;= K$46), 0), 0)), "")</f>
        <v/>
      </c>
      <c r="L50" s="34" t="str" cm="1">
        <f t="array" ref="L50">IFERROR(INDEX(FORECAST!$D$12:$D$475, MATCH(1, INDEX((ISNUMBER(SEARCH($B50, FORECAST!$A$12:$A$475))) * (INT(FORECAST!$B$12:$B$475) &lt;= L$46) * (INT(FORECAST!$C$12:$C$475) &gt;= L$46), 0), 0)), "")</f>
        <v>Garantizado</v>
      </c>
      <c r="M50" s="34" t="str" cm="1">
        <f t="array" ref="M50">IFERROR(INDEX(FORECAST!$D$12:$D$475, MATCH(1, INDEX((ISNUMBER(SEARCH($B50, FORECAST!$A$12:$A$475))) * (INT(FORECAST!$B$12:$B$475) &lt;= M$46) * (INT(FORECAST!$C$12:$C$475) &gt;= M$46), 0), 0)), "")</f>
        <v>Garantizado</v>
      </c>
      <c r="N50" s="34" t="str" cm="1">
        <f t="array" ref="N50">IFERROR(INDEX(FORECAST!$D$12:$D$475, MATCH(1, INDEX((ISNUMBER(SEARCH($B50, FORECAST!$A$12:$A$475))) * (INT(FORECAST!$B$12:$B$475) &lt;= N$46) * (INT(FORECAST!$C$12:$C$475) &gt;= N$46), 0), 0)), "")</f>
        <v/>
      </c>
      <c r="O50" s="34" t="str" cm="1">
        <f t="array" ref="O50">IFERROR(INDEX(FORECAST!$D$12:$D$475, MATCH(1, INDEX((ISNUMBER(SEARCH($B50, FORECAST!$A$12:$A$475))) * (INT(FORECAST!$B$12:$B$475) &lt;= O$46) * (INT(FORECAST!$C$12:$C$475) &gt;= O$46), 0), 0)), "")</f>
        <v/>
      </c>
      <c r="P50" s="34" t="str" cm="1">
        <f t="array" ref="P50">IFERROR(INDEX(FORECAST!$D$12:$D$475, MATCH(1, INDEX((ISNUMBER(SEARCH($B50, FORECAST!$A$12:$A$475))) * (INT(FORECAST!$B$12:$B$475) &lt;= P$46) * (INT(FORECAST!$C$12:$C$475) &gt;= P$46), 0), 0)), "")</f>
        <v/>
      </c>
      <c r="Q50" s="34" t="str" cm="1">
        <f t="array" ref="Q50">IFERROR(INDEX(FORECAST!$D$12:$D$475, MATCH(1, INDEX((ISNUMBER(SEARCH($B50, FORECAST!$A$12:$A$475))) * (INT(FORECAST!$B$12:$B$475) &lt;= Q$46) * (INT(FORECAST!$C$12:$C$475) &gt;= Q$46), 0), 0)), "")</f>
        <v/>
      </c>
      <c r="R50" s="34" t="str" cm="1">
        <f t="array" ref="R50">IFERROR(INDEX(FORECAST!$D$12:$D$475, MATCH(1, INDEX((ISNUMBER(SEARCH($B50, FORECAST!$A$12:$A$475))) * (INT(FORECAST!$B$12:$B$475) &lt;= R$46) * (INT(FORECAST!$C$12:$C$475) &gt;= R$46), 0), 0)), "")</f>
        <v>Garantizado</v>
      </c>
      <c r="S50" s="34" t="str" cm="1">
        <f t="array" ref="S50">IFERROR(INDEX(FORECAST!$D$12:$D$475, MATCH(1, INDEX((ISNUMBER(SEARCH($B50, FORECAST!$A$12:$A$475))) * (INT(FORECAST!$B$12:$B$475) &lt;= S$46) * (INT(FORECAST!$C$12:$C$475) &gt;= S$46), 0), 0)), "")</f>
        <v>Garantizado</v>
      </c>
      <c r="T50" s="34" t="str" cm="1">
        <f t="array" ref="T50">IFERROR(INDEX(FORECAST!$D$12:$D$475, MATCH(1, INDEX((ISNUMBER(SEARCH($B50, FORECAST!$A$12:$A$475))) * (INT(FORECAST!$B$12:$B$475) &lt;= T$46) * (INT(FORECAST!$C$12:$C$475) &gt;= T$46), 0), 0)), "")</f>
        <v>Presupuesto</v>
      </c>
      <c r="U50" s="34" t="str" cm="1">
        <f t="array" ref="U50">IFERROR(INDEX(FORECAST!$D$12:$D$475, MATCH(1, INDEX((ISNUMBER(SEARCH($B50, FORECAST!$A$12:$A$475))) * (INT(FORECAST!$B$12:$B$475) &lt;= U$46) * (INT(FORECAST!$C$12:$C$475) &gt;= U$46), 0), 0)), "")</f>
        <v>Garantizado</v>
      </c>
      <c r="V50" s="34" t="str" cm="1">
        <f t="array" ref="V50">IFERROR(INDEX(FORECAST!$D$12:$D$475, MATCH(1, INDEX((ISNUMBER(SEARCH($B50, FORECAST!$A$12:$A$475))) * (INT(FORECAST!$B$12:$B$475) &lt;= V$46) * (INT(FORECAST!$C$12:$C$475) &gt;= V$46), 0), 0)), "")</f>
        <v/>
      </c>
      <c r="W50" s="34" t="str" cm="1">
        <f t="array" ref="W50">IFERROR(INDEX(FORECAST!$D$12:$D$475, MATCH(1, INDEX((ISNUMBER(SEARCH($B50, FORECAST!$A$12:$A$475))) * (INT(FORECAST!$B$12:$B$475) &lt;= W$46) * (INT(FORECAST!$C$12:$C$475) &gt;= W$46), 0), 0)), "")</f>
        <v>Presupuesto</v>
      </c>
      <c r="X50" s="34" t="str" cm="1">
        <f t="array" ref="X50">IFERROR(INDEX(FORECAST!$D$12:$D$475, MATCH(1, INDEX((ISNUMBER(SEARCH($B50, FORECAST!$A$12:$A$475))) * (INT(FORECAST!$B$12:$B$475) &lt;= X$46) * (INT(FORECAST!$C$12:$C$475) &gt;= X$46), 0), 0)), "")</f>
        <v>Presupuesto</v>
      </c>
      <c r="Y50" s="34" t="str" cm="1">
        <f t="array" ref="Y50">IFERROR(INDEX(FORECAST!$D$12:$D$475, MATCH(1, INDEX((ISNUMBER(SEARCH($B50, FORECAST!$A$12:$A$475))) * (INT(FORECAST!$B$12:$B$475) &lt;= Y$46) * (INT(FORECAST!$C$12:$C$475) &gt;= Y$46), 0), 0)), "")</f>
        <v>Presupuesto</v>
      </c>
      <c r="Z50" s="34" t="str" cm="1">
        <f t="array" ref="Z50">IFERROR(INDEX(FORECAST!$D$12:$D$475, MATCH(1, INDEX((ISNUMBER(SEARCH($B50, FORECAST!$A$12:$A$475))) * (INT(FORECAST!$B$12:$B$475) &lt;= Z$46) * (INT(FORECAST!$C$12:$C$475) &gt;= Z$46), 0), 0)), "")</f>
        <v/>
      </c>
      <c r="AA50" s="34" t="str" cm="1">
        <f t="array" ref="AA50">IFERROR(INDEX(FORECAST!$D$12:$D$475, MATCH(1, INDEX((ISNUMBER(SEARCH($B50, FORECAST!$A$12:$A$475))) * (INT(FORECAST!$B$12:$B$475) &lt;= AA$46) * (INT(FORECAST!$C$12:$C$475) &gt;= AA$46), 0), 0)), "")</f>
        <v/>
      </c>
      <c r="AB50" s="34" t="str" cm="1">
        <f t="array" ref="AB50">IFERROR(INDEX(FORECAST!$D$12:$D$475, MATCH(1, INDEX((ISNUMBER(SEARCH($B50, FORECAST!$A$12:$A$475))) * (INT(FORECAST!$B$12:$B$475) &lt;= AB$46) * (INT(FORECAST!$C$12:$C$475) &gt;= AB$46), 0), 0)), "")</f>
        <v/>
      </c>
      <c r="AC50" s="34" t="str" cm="1">
        <f t="array" ref="AC50">IFERROR(INDEX(FORECAST!$D$12:$D$475, MATCH(1, INDEX((ISNUMBER(SEARCH($B50, FORECAST!$A$12:$A$475))) * (INT(FORECAST!$B$12:$B$475) &lt;= AC$46) * (INT(FORECAST!$C$12:$C$475) &gt;= AC$46), 0), 0)), "")</f>
        <v/>
      </c>
      <c r="AD50" s="34" t="str" cm="1">
        <f t="array" ref="AD50">IFERROR(INDEX(FORECAST!$D$12:$D$475, MATCH(1, INDEX((ISNUMBER(SEARCH($B50, FORECAST!$A$12:$A$475))) * (INT(FORECAST!$B$12:$B$475) &lt;= AD$46) * (INT(FORECAST!$C$12:$C$475) &gt;= AD$46), 0), 0)), "")</f>
        <v/>
      </c>
      <c r="AE50" s="34" t="str" cm="1">
        <f t="array" ref="AE50">IFERROR(INDEX(FORECAST!$D$12:$D$475, MATCH(1, INDEX((ISNUMBER(SEARCH($B50, FORECAST!$A$12:$A$475))) * (INT(FORECAST!$B$12:$B$475) &lt;= AE$46) * (INT(FORECAST!$C$12:$C$475) &gt;= AE$46), 0), 0)), "")</f>
        <v/>
      </c>
      <c r="AF50" s="34" t="str" cm="1">
        <f t="array" ref="AF50">IFERROR(INDEX(FORECAST!$D$12:$D$475, MATCH(1, INDEX((ISNUMBER(SEARCH($B50, FORECAST!$A$12:$A$475))) * (INT(FORECAST!$B$12:$B$475) &lt;= AF$46) * (INT(FORECAST!$C$12:$C$475) &gt;= AF$46), 0), 0)), "")</f>
        <v/>
      </c>
      <c r="AG50" s="9"/>
      <c r="AH50" s="2"/>
      <c r="AI50" s="2"/>
      <c r="AJ50" s="45">
        <f t="shared" si="3"/>
        <v>0.16666666666666666</v>
      </c>
    </row>
    <row r="51" spans="1:38" x14ac:dyDescent="0.25">
      <c r="A51" s="71"/>
      <c r="B51" s="26" t="s">
        <v>522</v>
      </c>
      <c r="C51" s="34" t="str" cm="1">
        <f t="array" ref="C51">IFERROR(INDEX(FORECAST!$D$12:$D$475, MATCH(1, INDEX((ISNUMBER(SEARCH($B51, FORECAST!$A$12:$A$475))) * (INT(FORECAST!$B$12:$B$475) &lt;= C$46) * (INT(FORECAST!$C$12:$C$475) &gt;= C$46), 0), 0)), "")</f>
        <v/>
      </c>
      <c r="D51" s="34" t="str" cm="1">
        <f t="array" ref="D51">IFERROR(INDEX(FORECAST!$D$12:$D$475, MATCH(1, INDEX((ISNUMBER(SEARCH($B51, FORECAST!$A$12:$A$475))) * (INT(FORECAST!$B$12:$B$475) &lt;= D$46) * (INT(FORECAST!$C$12:$C$475) &gt;= D$46), 0), 0)), "")</f>
        <v/>
      </c>
      <c r="E51" s="34" t="str" cm="1">
        <f t="array" ref="E51">IFERROR(INDEX(FORECAST!$D$12:$D$475, MATCH(1, INDEX((ISNUMBER(SEARCH($B51, FORECAST!$A$12:$A$475))) * (INT(FORECAST!$B$12:$B$475) &lt;= E$46) * (INT(FORECAST!$C$12:$C$475) &gt;= E$46), 0), 0)), "")</f>
        <v/>
      </c>
      <c r="F51" s="34" t="str" cm="1">
        <f t="array" ref="F51">IFERROR(INDEX(FORECAST!$D$12:$D$475, MATCH(1, INDEX((ISNUMBER(SEARCH($B51, FORECAST!$A$12:$A$475))) * (INT(FORECAST!$B$12:$B$475) &lt;= F$46) * (INT(FORECAST!$C$12:$C$475) &gt;= F$46), 0), 0)), "")</f>
        <v/>
      </c>
      <c r="G51" s="34" t="str" cm="1">
        <f t="array" ref="G51">IFERROR(INDEX(FORECAST!$D$12:$D$475, MATCH(1, INDEX((ISNUMBER(SEARCH($B51, FORECAST!$A$12:$A$475))) * (INT(FORECAST!$B$12:$B$475) &lt;= G$46) * (INT(FORECAST!$C$12:$C$475) &gt;= G$46), 0), 0)), "")</f>
        <v/>
      </c>
      <c r="H51" s="34" t="str" cm="1">
        <f t="array" ref="H51">IFERROR(INDEX(FORECAST!$D$12:$D$475, MATCH(1, INDEX((ISNUMBER(SEARCH($B51, FORECAST!$A$12:$A$475))) * (INT(FORECAST!$B$12:$B$475) &lt;= H$46) * (INT(FORECAST!$C$12:$C$475) &gt;= H$46), 0), 0)), "")</f>
        <v/>
      </c>
      <c r="I51" s="34" t="str" cm="1">
        <f t="array" ref="I51">IFERROR(INDEX(FORECAST!$D$12:$D$475, MATCH(1, INDEX((ISNUMBER(SEARCH($B51, FORECAST!$A$12:$A$475))) * (INT(FORECAST!$B$12:$B$475) &lt;= I$46) * (INT(FORECAST!$C$12:$C$475) &gt;= I$46), 0), 0)), "")</f>
        <v>Presupuesto</v>
      </c>
      <c r="J51" s="34" t="str" cm="1">
        <f t="array" ref="J51">IFERROR(INDEX(FORECAST!$D$12:$D$475, MATCH(1, INDEX((ISNUMBER(SEARCH($B51, FORECAST!$A$12:$A$475))) * (INT(FORECAST!$B$12:$B$475) &lt;= J$46) * (INT(FORECAST!$C$12:$C$475) &gt;= J$46), 0), 0)), "")</f>
        <v/>
      </c>
      <c r="K51" s="34" t="str" cm="1">
        <f t="array" ref="K51">IFERROR(INDEX(FORECAST!$D$12:$D$475, MATCH(1, INDEX((ISNUMBER(SEARCH($B51, FORECAST!$A$12:$A$475))) * (INT(FORECAST!$B$12:$B$475) &lt;= K$46) * (INT(FORECAST!$C$12:$C$475) &gt;= K$46), 0), 0)), "")</f>
        <v/>
      </c>
      <c r="L51" s="34" t="str" cm="1">
        <f t="array" ref="L51">IFERROR(INDEX(FORECAST!$D$12:$D$475, MATCH(1, INDEX((ISNUMBER(SEARCH($B51, FORECAST!$A$12:$A$475))) * (INT(FORECAST!$B$12:$B$475) &lt;= L$46) * (INT(FORECAST!$C$12:$C$475) &gt;= L$46), 0), 0)), "")</f>
        <v>Garantizado</v>
      </c>
      <c r="M51" s="34" t="str" cm="1">
        <f t="array" ref="M51">IFERROR(INDEX(FORECAST!$D$12:$D$475, MATCH(1, INDEX((ISNUMBER(SEARCH($B51, FORECAST!$A$12:$A$475))) * (INT(FORECAST!$B$12:$B$475) &lt;= M$46) * (INT(FORECAST!$C$12:$C$475) &gt;= M$46), 0), 0)), "")</f>
        <v>Garantizado</v>
      </c>
      <c r="N51" s="34" t="str" cm="1">
        <f t="array" ref="N51">IFERROR(INDEX(FORECAST!$D$12:$D$475, MATCH(1, INDEX((ISNUMBER(SEARCH($B51, FORECAST!$A$12:$A$475))) * (INT(FORECAST!$B$12:$B$475) &lt;= N$46) * (INT(FORECAST!$C$12:$C$475) &gt;= N$46), 0), 0)), "")</f>
        <v/>
      </c>
      <c r="O51" s="34" t="str" cm="1">
        <f t="array" ref="O51">IFERROR(INDEX(FORECAST!$D$12:$D$475, MATCH(1, INDEX((ISNUMBER(SEARCH($B51, FORECAST!$A$12:$A$475))) * (INT(FORECAST!$B$12:$B$475) &lt;= O$46) * (INT(FORECAST!$C$12:$C$475) &gt;= O$46), 0), 0)), "")</f>
        <v/>
      </c>
      <c r="P51" s="34" t="str" cm="1">
        <f t="array" ref="P51">IFERROR(INDEX(FORECAST!$D$12:$D$475, MATCH(1, INDEX((ISNUMBER(SEARCH($B51, FORECAST!$A$12:$A$475))) * (INT(FORECAST!$B$12:$B$475) &lt;= P$46) * (INT(FORECAST!$C$12:$C$475) &gt;= P$46), 0), 0)), "")</f>
        <v/>
      </c>
      <c r="Q51" s="34" t="str" cm="1">
        <f t="array" ref="Q51">IFERROR(INDEX(FORECAST!$D$12:$D$475, MATCH(1, INDEX((ISNUMBER(SEARCH($B51, FORECAST!$A$12:$A$475))) * (INT(FORECAST!$B$12:$B$475) &lt;= Q$46) * (INT(FORECAST!$C$12:$C$475) &gt;= Q$46), 0), 0)), "")</f>
        <v/>
      </c>
      <c r="R51" s="34" t="str" cm="1">
        <f t="array" ref="R51">IFERROR(INDEX(FORECAST!$D$12:$D$475, MATCH(1, INDEX((ISNUMBER(SEARCH($B51, FORECAST!$A$12:$A$475))) * (INT(FORECAST!$B$12:$B$475) &lt;= R$46) * (INT(FORECAST!$C$12:$C$475) &gt;= R$46), 0), 0)), "")</f>
        <v/>
      </c>
      <c r="S51" s="34" t="str" cm="1">
        <f t="array" ref="S51">IFERROR(INDEX(FORECAST!$D$12:$D$475, MATCH(1, INDEX((ISNUMBER(SEARCH($B51, FORECAST!$A$12:$A$475))) * (INT(FORECAST!$B$12:$B$475) &lt;= S$46) * (INT(FORECAST!$C$12:$C$475) &gt;= S$46), 0), 0)), "")</f>
        <v/>
      </c>
      <c r="T51" s="34" t="str" cm="1">
        <f t="array" ref="T51">IFERROR(INDEX(FORECAST!$D$12:$D$475, MATCH(1, INDEX((ISNUMBER(SEARCH($B51, FORECAST!$A$12:$A$475))) * (INT(FORECAST!$B$12:$B$475) &lt;= T$46) * (INT(FORECAST!$C$12:$C$475) &gt;= T$46), 0), 0)), "")</f>
        <v>Garantizado</v>
      </c>
      <c r="U51" s="34" t="str" cm="1">
        <f t="array" ref="U51">IFERROR(INDEX(FORECAST!$D$12:$D$475, MATCH(1, INDEX((ISNUMBER(SEARCH($B51, FORECAST!$A$12:$A$475))) * (INT(FORECAST!$B$12:$B$475) &lt;= U$46) * (INT(FORECAST!$C$12:$C$475) &gt;= U$46), 0), 0)), "")</f>
        <v>Garantizado</v>
      </c>
      <c r="V51" s="34" t="str" cm="1">
        <f t="array" ref="V51">IFERROR(INDEX(FORECAST!$D$12:$D$475, MATCH(1, INDEX((ISNUMBER(SEARCH($B51, FORECAST!$A$12:$A$475))) * (INT(FORECAST!$B$12:$B$475) &lt;= V$46) * (INT(FORECAST!$C$12:$C$475) &gt;= V$46), 0), 0)), "")</f>
        <v/>
      </c>
      <c r="W51" s="34" t="str" cm="1">
        <f t="array" ref="W51">IFERROR(INDEX(FORECAST!$D$12:$D$475, MATCH(1, INDEX((ISNUMBER(SEARCH($B51, FORECAST!$A$12:$A$475))) * (INT(FORECAST!$B$12:$B$475) &lt;= W$46) * (INT(FORECAST!$C$12:$C$475) &gt;= W$46), 0), 0)), "")</f>
        <v/>
      </c>
      <c r="X51" s="34" t="str" cm="1">
        <f t="array" ref="X51">IFERROR(INDEX(FORECAST!$D$12:$D$475, MATCH(1, INDEX((ISNUMBER(SEARCH($B51, FORECAST!$A$12:$A$475))) * (INT(FORECAST!$B$12:$B$475) &lt;= X$46) * (INT(FORECAST!$C$12:$C$475) &gt;= X$46), 0), 0)), "")</f>
        <v>Tentativo</v>
      </c>
      <c r="Y51" s="34" t="str" cm="1">
        <f t="array" ref="Y51">IFERROR(INDEX(FORECAST!$D$12:$D$475, MATCH(1, INDEX((ISNUMBER(SEARCH($B51, FORECAST!$A$12:$A$475))) * (INT(FORECAST!$B$12:$B$475) &lt;= Y$46) * (INT(FORECAST!$C$12:$C$475) &gt;= Y$46), 0), 0)), "")</f>
        <v>Garantizado</v>
      </c>
      <c r="Z51" s="34" t="str" cm="1">
        <f t="array" ref="Z51">IFERROR(INDEX(FORECAST!$D$12:$D$475, MATCH(1, INDEX((ISNUMBER(SEARCH($B51, FORECAST!$A$12:$A$475))) * (INT(FORECAST!$B$12:$B$475) &lt;= Z$46) * (INT(FORECAST!$C$12:$C$475) &gt;= Z$46), 0), 0)), "")</f>
        <v>Presupuesto</v>
      </c>
      <c r="AA51" s="34" t="str" cm="1">
        <f t="array" ref="AA51">IFERROR(INDEX(FORECAST!$D$12:$D$475, MATCH(1, INDEX((ISNUMBER(SEARCH($B51, FORECAST!$A$12:$A$475))) * (INT(FORECAST!$B$12:$B$475) &lt;= AA$46) * (INT(FORECAST!$C$12:$C$475) &gt;= AA$46), 0), 0)), "")</f>
        <v/>
      </c>
      <c r="AB51" s="34" t="str" cm="1">
        <f t="array" ref="AB51">IFERROR(INDEX(FORECAST!$D$12:$D$475, MATCH(1, INDEX((ISNUMBER(SEARCH($B51, FORECAST!$A$12:$A$475))) * (INT(FORECAST!$B$12:$B$475) &lt;= AB$46) * (INT(FORECAST!$C$12:$C$475) &gt;= AB$46), 0), 0)), "")</f>
        <v/>
      </c>
      <c r="AC51" s="34" t="str" cm="1">
        <f t="array" ref="AC51">IFERROR(INDEX(FORECAST!$D$12:$D$475, MATCH(1, INDEX((ISNUMBER(SEARCH($B51, FORECAST!$A$12:$A$475))) * (INT(FORECAST!$B$12:$B$475) &lt;= AC$46) * (INT(FORECAST!$C$12:$C$475) &gt;= AC$46), 0), 0)), "")</f>
        <v/>
      </c>
      <c r="AD51" s="34" t="str" cm="1">
        <f t="array" ref="AD51">IFERROR(INDEX(FORECAST!$D$12:$D$475, MATCH(1, INDEX((ISNUMBER(SEARCH($B51, FORECAST!$A$12:$A$475))) * (INT(FORECAST!$B$12:$B$475) &lt;= AD$46) * (INT(FORECAST!$C$12:$C$475) &gt;= AD$46), 0), 0)), "")</f>
        <v/>
      </c>
      <c r="AE51" s="34" t="str" cm="1">
        <f t="array" ref="AE51">IFERROR(INDEX(FORECAST!$D$12:$D$475, MATCH(1, INDEX((ISNUMBER(SEARCH($B51, FORECAST!$A$12:$A$475))) * (INT(FORECAST!$B$12:$B$475) &lt;= AE$46) * (INT(FORECAST!$C$12:$C$475) &gt;= AE$46), 0), 0)), "")</f>
        <v/>
      </c>
      <c r="AF51" s="34" t="str" cm="1">
        <f t="array" ref="AF51">IFERROR(INDEX(FORECAST!$D$12:$D$475, MATCH(1, INDEX((ISNUMBER(SEARCH($B51, FORECAST!$A$12:$A$475))) * (INT(FORECAST!$B$12:$B$475) &lt;= AF$46) * (INT(FORECAST!$C$12:$C$475) &gt;= AF$46), 0), 0)), "")</f>
        <v/>
      </c>
      <c r="AG51" s="9"/>
      <c r="AH51" s="2"/>
      <c r="AI51" s="2"/>
      <c r="AJ51" s="45">
        <f t="shared" si="3"/>
        <v>0.16666666666666666</v>
      </c>
    </row>
    <row r="52" spans="1:38" ht="16.5" customHeight="1" x14ac:dyDescent="0.25">
      <c r="A52" s="71"/>
      <c r="B52" s="26" t="s">
        <v>523</v>
      </c>
      <c r="C52" s="34" t="str" cm="1">
        <f t="array" ref="C52">IFERROR(INDEX(FORECAST!$D$12:$D$475, MATCH(1, INDEX((ISNUMBER(SEARCH($B52, FORECAST!$A$12:$A$475))) * (INT(FORECAST!$B$12:$B$475) &lt;= C$46) * (INT(FORECAST!$C$12:$C$475) &gt;= C$46), 0), 0)), "")</f>
        <v/>
      </c>
      <c r="D52" s="34" t="str" cm="1">
        <f t="array" ref="D52">IFERROR(INDEX(FORECAST!$D$12:$D$475, MATCH(1, INDEX((ISNUMBER(SEARCH($B52, FORECAST!$A$12:$A$475))) * (INT(FORECAST!$B$12:$B$475) &lt;= D$46) * (INT(FORECAST!$C$12:$C$475) &gt;= D$46), 0), 0)), "")</f>
        <v/>
      </c>
      <c r="E52" s="34" t="str" cm="1">
        <f t="array" ref="E52">IFERROR(INDEX(FORECAST!$D$12:$D$475, MATCH(1, INDEX((ISNUMBER(SEARCH($B52, FORECAST!$A$12:$A$475))) * (INT(FORECAST!$B$12:$B$475) &lt;= E$46) * (INT(FORECAST!$C$12:$C$475) &gt;= E$46), 0), 0)), "")</f>
        <v/>
      </c>
      <c r="F52" s="34" t="str" cm="1">
        <f t="array" ref="F52">IFERROR(INDEX(FORECAST!$D$12:$D$475, MATCH(1, INDEX((ISNUMBER(SEARCH($B52, FORECAST!$A$12:$A$475))) * (INT(FORECAST!$B$12:$B$475) &lt;= F$46) * (INT(FORECAST!$C$12:$C$475) &gt;= F$46), 0), 0)), "")</f>
        <v/>
      </c>
      <c r="G52" s="34" t="str" cm="1">
        <f t="array" ref="G52">IFERROR(INDEX(FORECAST!$D$12:$D$475, MATCH(1, INDEX((ISNUMBER(SEARCH($B52, FORECAST!$A$12:$A$475))) * (INT(FORECAST!$B$12:$B$475) &lt;= G$46) * (INT(FORECAST!$C$12:$C$475) &gt;= G$46), 0), 0)), "")</f>
        <v/>
      </c>
      <c r="H52" s="34" t="str" cm="1">
        <f t="array" ref="H52">IFERROR(INDEX(FORECAST!$D$12:$D$475, MATCH(1, INDEX((ISNUMBER(SEARCH($B52, FORECAST!$A$12:$A$475))) * (INT(FORECAST!$B$12:$B$475) &lt;= H$46) * (INT(FORECAST!$C$12:$C$475) &gt;= H$46), 0), 0)), "")</f>
        <v/>
      </c>
      <c r="I52" s="34" t="str" cm="1">
        <f t="array" ref="I52">IFERROR(INDEX(FORECAST!$D$12:$D$475, MATCH(1, INDEX((ISNUMBER(SEARCH($B52, FORECAST!$A$12:$A$475))) * (INT(FORECAST!$B$12:$B$475) &lt;= I$46) * (INT(FORECAST!$C$12:$C$475) &gt;= I$46), 0), 0)), "")</f>
        <v/>
      </c>
      <c r="J52" s="34" t="str" cm="1">
        <f t="array" ref="J52">IFERROR(INDEX(FORECAST!$D$12:$D$475, MATCH(1, INDEX((ISNUMBER(SEARCH($B52, FORECAST!$A$12:$A$475))) * (INT(FORECAST!$B$12:$B$475) &lt;= J$46) * (INT(FORECAST!$C$12:$C$475) &gt;= J$46), 0), 0)), "")</f>
        <v>Garantizado</v>
      </c>
      <c r="K52" s="34" t="str" cm="1">
        <f t="array" ref="K52">IFERROR(INDEX(FORECAST!$D$12:$D$475, MATCH(1, INDEX((ISNUMBER(SEARCH($B52, FORECAST!$A$12:$A$475))) * (INT(FORECAST!$B$12:$B$475) &lt;= K$46) * (INT(FORECAST!$C$12:$C$475) &gt;= K$46), 0), 0)), "")</f>
        <v>Garantizado</v>
      </c>
      <c r="L52" s="34" t="str" cm="1">
        <f t="array" ref="L52">IFERROR(INDEX(FORECAST!$D$12:$D$475, MATCH(1, INDEX((ISNUMBER(SEARCH($B52, FORECAST!$A$12:$A$475))) * (INT(FORECAST!$B$12:$B$475) &lt;= L$46) * (INT(FORECAST!$C$12:$C$475) &gt;= L$46), 0), 0)), "")</f>
        <v>Garantizado</v>
      </c>
      <c r="M52" s="34" t="str" cm="1">
        <f t="array" ref="M52">IFERROR(INDEX(FORECAST!$D$12:$D$475, MATCH(1, INDEX((ISNUMBER(SEARCH($B52, FORECAST!$A$12:$A$475))) * (INT(FORECAST!$B$12:$B$475) &lt;= M$46) * (INT(FORECAST!$C$12:$C$475) &gt;= M$46), 0), 0)), "")</f>
        <v/>
      </c>
      <c r="N52" s="34" t="str" cm="1">
        <f t="array" ref="N52">IFERROR(INDEX(FORECAST!$D$12:$D$475, MATCH(1, INDEX((ISNUMBER(SEARCH($B52, FORECAST!$A$12:$A$475))) * (INT(FORECAST!$B$12:$B$475) &lt;= N$46) * (INT(FORECAST!$C$12:$C$475) &gt;= N$46), 0), 0)), "")</f>
        <v/>
      </c>
      <c r="O52" s="34" t="str" cm="1">
        <f t="array" ref="O52">IFERROR(INDEX(FORECAST!$D$12:$D$475, MATCH(1, INDEX((ISNUMBER(SEARCH($B52, FORECAST!$A$12:$A$475))) * (INT(FORECAST!$B$12:$B$475) &lt;= O$46) * (INT(FORECAST!$C$12:$C$475) &gt;= O$46), 0), 0)), "")</f>
        <v/>
      </c>
      <c r="P52" s="34" t="str" cm="1">
        <f t="array" ref="P52">IFERROR(INDEX(FORECAST!$D$12:$D$475, MATCH(1, INDEX((ISNUMBER(SEARCH($B52, FORECAST!$A$12:$A$475))) * (INT(FORECAST!$B$12:$B$475) &lt;= P$46) * (INT(FORECAST!$C$12:$C$475) &gt;= P$46), 0), 0)), "")</f>
        <v/>
      </c>
      <c r="Q52" s="34" t="str" cm="1">
        <f t="array" ref="Q52">IFERROR(INDEX(FORECAST!$D$12:$D$475, MATCH(1, INDEX((ISNUMBER(SEARCH($B52, FORECAST!$A$12:$A$475))) * (INT(FORECAST!$B$12:$B$475) &lt;= Q$46) * (INT(FORECAST!$C$12:$C$475) &gt;= Q$46), 0), 0)), "")</f>
        <v/>
      </c>
      <c r="R52" s="34" t="str" cm="1">
        <f t="array" ref="R52">IFERROR(INDEX(FORECAST!$D$12:$D$475, MATCH(1, INDEX((ISNUMBER(SEARCH($B52, FORECAST!$A$12:$A$475))) * (INT(FORECAST!$B$12:$B$475) &lt;= R$46) * (INT(FORECAST!$C$12:$C$475) &gt;= R$46), 0), 0)), "")</f>
        <v>Presupuesto</v>
      </c>
      <c r="S52" s="34" t="str" cm="1">
        <f t="array" ref="S52">IFERROR(INDEX(FORECAST!$D$12:$D$475, MATCH(1, INDEX((ISNUMBER(SEARCH($B52, FORECAST!$A$12:$A$475))) * (INT(FORECAST!$B$12:$B$475) &lt;= S$46) * (INT(FORECAST!$C$12:$C$475) &gt;= S$46), 0), 0)), "")</f>
        <v/>
      </c>
      <c r="T52" s="34" t="str" cm="1">
        <f t="array" ref="T52">IFERROR(INDEX(FORECAST!$D$12:$D$475, MATCH(1, INDEX((ISNUMBER(SEARCH($B52, FORECAST!$A$12:$A$475))) * (INT(FORECAST!$B$12:$B$475) &lt;= T$46) * (INT(FORECAST!$C$12:$C$475) &gt;= T$46), 0), 0)), "")</f>
        <v>Garantizado</v>
      </c>
      <c r="U52" s="34" t="str" cm="1">
        <f t="array" ref="U52">IFERROR(INDEX(FORECAST!$D$12:$D$475, MATCH(1, INDEX((ISNUMBER(SEARCH($B52, FORECAST!$A$12:$A$475))) * (INT(FORECAST!$B$12:$B$475) &lt;= U$46) * (INT(FORECAST!$C$12:$C$475) &gt;= U$46), 0), 0)), "")</f>
        <v>Garantizado</v>
      </c>
      <c r="V52" s="34" t="str" cm="1">
        <f t="array" ref="V52">IFERROR(INDEX(FORECAST!$D$12:$D$475, MATCH(1, INDEX((ISNUMBER(SEARCH($B52, FORECAST!$A$12:$A$475))) * (INT(FORECAST!$B$12:$B$475) &lt;= V$46) * (INT(FORECAST!$C$12:$C$475) &gt;= V$46), 0), 0)), "")</f>
        <v>Garantizado</v>
      </c>
      <c r="W52" s="34" t="str" cm="1">
        <f t="array" ref="W52">IFERROR(INDEX(FORECAST!$D$12:$D$475, MATCH(1, INDEX((ISNUMBER(SEARCH($B52, FORECAST!$A$12:$A$475))) * (INT(FORECAST!$B$12:$B$475) &lt;= W$46) * (INT(FORECAST!$C$12:$C$475) &gt;= W$46), 0), 0)), "")</f>
        <v/>
      </c>
      <c r="X52" s="34" t="str" cm="1">
        <f t="array" ref="X52">IFERROR(INDEX(FORECAST!$D$12:$D$475, MATCH(1, INDEX((ISNUMBER(SEARCH($B52, FORECAST!$A$12:$A$475))) * (INT(FORECAST!$B$12:$B$475) &lt;= X$46) * (INT(FORECAST!$C$12:$C$475) &gt;= X$46), 0), 0)), "")</f>
        <v>Garantizado</v>
      </c>
      <c r="Y52" s="34" t="str" cm="1">
        <f t="array" ref="Y52">IFERROR(INDEX(FORECAST!$D$12:$D$475, MATCH(1, INDEX((ISNUMBER(SEARCH($B52, FORECAST!$A$12:$A$475))) * (INT(FORECAST!$B$12:$B$475) &lt;= Y$46) * (INT(FORECAST!$C$12:$C$475) &gt;= Y$46), 0), 0)), "")</f>
        <v>Garantizado</v>
      </c>
      <c r="Z52" s="34" t="str" cm="1">
        <f t="array" ref="Z52">IFERROR(INDEX(FORECAST!$D$12:$D$475, MATCH(1, INDEX((ISNUMBER(SEARCH($B52, FORECAST!$A$12:$A$475))) * (INT(FORECAST!$B$12:$B$475) &lt;= Z$46) * (INT(FORECAST!$C$12:$C$475) &gt;= Z$46), 0), 0)), "")</f>
        <v/>
      </c>
      <c r="AA52" s="34" t="str" cm="1">
        <f t="array" ref="AA52">IFERROR(INDEX(FORECAST!$D$12:$D$475, MATCH(1, INDEX((ISNUMBER(SEARCH($B52, FORECAST!$A$12:$A$475))) * (INT(FORECAST!$B$12:$B$475) &lt;= AA$46) * (INT(FORECAST!$C$12:$C$475) &gt;= AA$46), 0), 0)), "")</f>
        <v>Garantizado</v>
      </c>
      <c r="AB52" s="34" t="str" cm="1">
        <f t="array" ref="AB52">IFERROR(INDEX(FORECAST!$D$12:$D$475, MATCH(1, INDEX((ISNUMBER(SEARCH($B52, FORECAST!$A$12:$A$475))) * (INT(FORECAST!$B$12:$B$475) &lt;= AB$46) * (INT(FORECAST!$C$12:$C$475) &gt;= AB$46), 0), 0)), "")</f>
        <v>Garantizado</v>
      </c>
      <c r="AC52" s="34" t="str" cm="1">
        <f t="array" ref="AC52">IFERROR(INDEX(FORECAST!$D$12:$D$475, MATCH(1, INDEX((ISNUMBER(SEARCH($B52, FORECAST!$A$12:$A$475))) * (INT(FORECAST!$B$12:$B$475) &lt;= AC$46) * (INT(FORECAST!$C$12:$C$475) &gt;= AC$46), 0), 0)), "")</f>
        <v/>
      </c>
      <c r="AD52" s="34" t="str" cm="1">
        <f t="array" ref="AD52">IFERROR(INDEX(FORECAST!$D$12:$D$475, MATCH(1, INDEX((ISNUMBER(SEARCH($B52, FORECAST!$A$12:$A$475))) * (INT(FORECAST!$B$12:$B$475) &lt;= AD$46) * (INT(FORECAST!$C$12:$C$475) &gt;= AD$46), 0), 0)), "")</f>
        <v>Presupuesto</v>
      </c>
      <c r="AE52" s="34" t="str" cm="1">
        <f t="array" ref="AE52">IFERROR(INDEX(FORECAST!$D$12:$D$475, MATCH(1, INDEX((ISNUMBER(SEARCH($B52, FORECAST!$A$12:$A$475))) * (INT(FORECAST!$B$12:$B$475) &lt;= AE$46) * (INT(FORECAST!$C$12:$C$475) &gt;= AE$46), 0), 0)), "")</f>
        <v>Garantizado</v>
      </c>
      <c r="AF52" s="34" t="str" cm="1">
        <f t="array" ref="AF52">IFERROR(INDEX(FORECAST!$D$12:$D$475, MATCH(1, INDEX((ISNUMBER(SEARCH($B52, FORECAST!$A$12:$A$475))) * (INT(FORECAST!$B$12:$B$475) &lt;= AF$46) * (INT(FORECAST!$C$12:$C$475) &gt;= AF$46), 0), 0)), "")</f>
        <v/>
      </c>
      <c r="AG52" s="9"/>
      <c r="AH52" s="9"/>
      <c r="AI52" s="2"/>
      <c r="AJ52" s="45">
        <f t="shared" si="3"/>
        <v>0.36666666666666664</v>
      </c>
    </row>
    <row r="53" spans="1:38" x14ac:dyDescent="0.25">
      <c r="A53" s="71"/>
      <c r="B53" s="26" t="s">
        <v>9</v>
      </c>
      <c r="C53" s="34" t="str" cm="1">
        <f t="array" ref="C53">IFERROR(INDEX(FORECAST!$D$12:$D$475, MATCH(1, INDEX((ISNUMBER(SEARCH($B53, FORECAST!$A$12:$A$475))) * (INT(FORECAST!$B$12:$B$475) &lt;= C$46) * (INT(FORECAST!$C$12:$C$475) &gt;= C$46), 0), 0)), "")</f>
        <v/>
      </c>
      <c r="D53" s="34" t="str" cm="1">
        <f t="array" ref="D53">IFERROR(INDEX(FORECAST!$D$12:$D$475, MATCH(1, INDEX((ISNUMBER(SEARCH($B53, FORECAST!$A$12:$A$475))) * (INT(FORECAST!$B$12:$B$475) &lt;= D$46) * (INT(FORECAST!$C$12:$C$475) &gt;= D$46), 0), 0)), "")</f>
        <v>Tentativo</v>
      </c>
      <c r="E53" s="34" t="str" cm="1">
        <f t="array" ref="E53">IFERROR(INDEX(FORECAST!$D$12:$D$475, MATCH(1, INDEX((ISNUMBER(SEARCH($B53, FORECAST!$A$12:$A$475))) * (INT(FORECAST!$B$12:$B$475) &lt;= E$46) * (INT(FORECAST!$C$12:$C$475) &gt;= E$46), 0), 0)), "")</f>
        <v>Tentativo</v>
      </c>
      <c r="F53" s="34" t="str" cm="1">
        <f t="array" ref="F53">IFERROR(INDEX(FORECAST!$D$12:$D$475, MATCH(1, INDEX((ISNUMBER(SEARCH($B53, FORECAST!$A$12:$A$475))) * (INT(FORECAST!$B$12:$B$475) &lt;= F$46) * (INT(FORECAST!$C$12:$C$475) &gt;= F$46), 0), 0)), "")</f>
        <v>Tentativo</v>
      </c>
      <c r="G53" s="34" t="str" cm="1">
        <f t="array" ref="G53">IFERROR(INDEX(FORECAST!$D$12:$D$475, MATCH(1, INDEX((ISNUMBER(SEARCH($B53, FORECAST!$A$12:$A$475))) * (INT(FORECAST!$B$12:$B$475) &lt;= G$46) * (INT(FORECAST!$C$12:$C$475) &gt;= G$46), 0), 0)), "")</f>
        <v>Tentativo</v>
      </c>
      <c r="H53" s="34" t="str" cm="1">
        <f t="array" ref="H53">IFERROR(INDEX(FORECAST!$D$12:$D$475, MATCH(1, INDEX((ISNUMBER(SEARCH($B53, FORECAST!$A$12:$A$475))) * (INT(FORECAST!$B$12:$B$475) &lt;= H$46) * (INT(FORECAST!$C$12:$C$475) &gt;= H$46), 0), 0)), "")</f>
        <v/>
      </c>
      <c r="I53" s="34" t="str" cm="1">
        <f t="array" ref="I53">IFERROR(INDEX(FORECAST!$D$12:$D$475, MATCH(1, INDEX((ISNUMBER(SEARCH($B53, FORECAST!$A$12:$A$475))) * (INT(FORECAST!$B$12:$B$475) &lt;= I$46) * (INT(FORECAST!$C$12:$C$475) &gt;= I$46), 0), 0)), "")</f>
        <v>Garantizado</v>
      </c>
      <c r="J53" s="34" t="str" cm="1">
        <f t="array" ref="J53">IFERROR(INDEX(FORECAST!$D$12:$D$475, MATCH(1, INDEX((ISNUMBER(SEARCH($B53, FORECAST!$A$12:$A$475))) * (INT(FORECAST!$B$12:$B$475) &lt;= J$46) * (INT(FORECAST!$C$12:$C$475) &gt;= J$46), 0), 0)), "")</f>
        <v>Garantizado</v>
      </c>
      <c r="K53" s="34" t="str" cm="1">
        <f t="array" ref="K53">IFERROR(INDEX(FORECAST!$D$12:$D$475, MATCH(1, INDEX((ISNUMBER(SEARCH($B53, FORECAST!$A$12:$A$475))) * (INT(FORECAST!$B$12:$B$475) &lt;= K$46) * (INT(FORECAST!$C$12:$C$475) &gt;= K$46), 0), 0)), "")</f>
        <v/>
      </c>
      <c r="L53" s="34" t="str" cm="1">
        <f t="array" ref="L53">IFERROR(INDEX(FORECAST!$D$12:$D$475, MATCH(1, INDEX((ISNUMBER(SEARCH($B53, FORECAST!$A$12:$A$475))) * (INT(FORECAST!$B$12:$B$475) &lt;= L$46) * (INT(FORECAST!$C$12:$C$475) &gt;= L$46), 0), 0)), "")</f>
        <v/>
      </c>
      <c r="M53" s="34" t="str" cm="1">
        <f t="array" ref="M53">IFERROR(INDEX(FORECAST!$D$12:$D$475, MATCH(1, INDEX((ISNUMBER(SEARCH($B53, FORECAST!$A$12:$A$475))) * (INT(FORECAST!$B$12:$B$475) &lt;= M$46) * (INT(FORECAST!$C$12:$C$475) &gt;= M$46), 0), 0)), "")</f>
        <v/>
      </c>
      <c r="N53" s="34" t="str" cm="1">
        <f t="array" ref="N53">IFERROR(INDEX(FORECAST!$D$12:$D$475, MATCH(1, INDEX((ISNUMBER(SEARCH($B53, FORECAST!$A$12:$A$475))) * (INT(FORECAST!$B$12:$B$475) &lt;= N$46) * (INT(FORECAST!$C$12:$C$475) &gt;= N$46), 0), 0)), "")</f>
        <v/>
      </c>
      <c r="O53" s="34" t="str" cm="1">
        <f t="array" ref="O53">IFERROR(INDEX(FORECAST!$D$12:$D$475, MATCH(1, INDEX((ISNUMBER(SEARCH($B53, FORECAST!$A$12:$A$475))) * (INT(FORECAST!$B$12:$B$475) &lt;= O$46) * (INT(FORECAST!$C$12:$C$475) &gt;= O$46), 0), 0)), "")</f>
        <v/>
      </c>
      <c r="P53" s="34" t="str" cm="1">
        <f t="array" ref="P53">IFERROR(INDEX(FORECAST!$D$12:$D$475, MATCH(1, INDEX((ISNUMBER(SEARCH($B53, FORECAST!$A$12:$A$475))) * (INT(FORECAST!$B$12:$B$475) &lt;= P$46) * (INT(FORECAST!$C$12:$C$475) &gt;= P$46), 0), 0)), "")</f>
        <v/>
      </c>
      <c r="Q53" s="34" t="str" cm="1">
        <f t="array" ref="Q53">IFERROR(INDEX(FORECAST!$D$12:$D$475, MATCH(1, INDEX((ISNUMBER(SEARCH($B53, FORECAST!$A$12:$A$475))) * (INT(FORECAST!$B$12:$B$475) &lt;= Q$46) * (INT(FORECAST!$C$12:$C$475) &gt;= Q$46), 0), 0)), "")</f>
        <v>Garantizado</v>
      </c>
      <c r="R53" s="34" t="str" cm="1">
        <f t="array" ref="R53">IFERROR(INDEX(FORECAST!$D$12:$D$475, MATCH(1, INDEX((ISNUMBER(SEARCH($B53, FORECAST!$A$12:$A$475))) * (INT(FORECAST!$B$12:$B$475) &lt;= R$46) * (INT(FORECAST!$C$12:$C$475) &gt;= R$46), 0), 0)), "")</f>
        <v>Garantizado</v>
      </c>
      <c r="S53" s="34" t="str" cm="1">
        <f t="array" ref="S53">IFERROR(INDEX(FORECAST!$D$12:$D$475, MATCH(1, INDEX((ISNUMBER(SEARCH($B53, FORECAST!$A$12:$A$475))) * (INT(FORECAST!$B$12:$B$475) &lt;= S$46) * (INT(FORECAST!$C$12:$C$475) &gt;= S$46), 0), 0)), "")</f>
        <v>Garantizado</v>
      </c>
      <c r="T53" s="34" t="str" cm="1">
        <f t="array" ref="T53">IFERROR(INDEX(FORECAST!$D$12:$D$475, MATCH(1, INDEX((ISNUMBER(SEARCH($B53, FORECAST!$A$12:$A$475))) * (INT(FORECAST!$B$12:$B$475) &lt;= T$46) * (INT(FORECAST!$C$12:$C$475) &gt;= T$46), 0), 0)), "")</f>
        <v>Garantizado</v>
      </c>
      <c r="U53" s="34" t="str" cm="1">
        <f t="array" ref="U53">IFERROR(INDEX(FORECAST!$D$12:$D$475, MATCH(1, INDEX((ISNUMBER(SEARCH($B53, FORECAST!$A$12:$A$475))) * (INT(FORECAST!$B$12:$B$475) &lt;= U$46) * (INT(FORECAST!$C$12:$C$475) &gt;= U$46), 0), 0)), "")</f>
        <v/>
      </c>
      <c r="V53" s="34" t="str" cm="1">
        <f t="array" ref="V53">IFERROR(INDEX(FORECAST!$D$12:$D$475, MATCH(1, INDEX((ISNUMBER(SEARCH($B53, FORECAST!$A$12:$A$475))) * (INT(FORECAST!$B$12:$B$475) &lt;= V$46) * (INT(FORECAST!$C$12:$C$475) &gt;= V$46), 0), 0)), "")</f>
        <v/>
      </c>
      <c r="W53" s="34" t="str" cm="1">
        <f t="array" ref="W53">IFERROR(INDEX(FORECAST!$D$12:$D$475, MATCH(1, INDEX((ISNUMBER(SEARCH($B53, FORECAST!$A$12:$A$475))) * (INT(FORECAST!$B$12:$B$475) &lt;= W$46) * (INT(FORECAST!$C$12:$C$475) &gt;= W$46), 0), 0)), "")</f>
        <v/>
      </c>
      <c r="X53" s="34" t="str" cm="1">
        <f t="array" ref="X53">IFERROR(INDEX(FORECAST!$D$12:$D$475, MATCH(1, INDEX((ISNUMBER(SEARCH($B53, FORECAST!$A$12:$A$475))) * (INT(FORECAST!$B$12:$B$475) &lt;= X$46) * (INT(FORECAST!$C$12:$C$475) &gt;= X$46), 0), 0)), "")</f>
        <v>Garantizado</v>
      </c>
      <c r="Y53" s="34" t="str" cm="1">
        <f t="array" ref="Y53">IFERROR(INDEX(FORECAST!$D$12:$D$475, MATCH(1, INDEX((ISNUMBER(SEARCH($B53, FORECAST!$A$12:$A$475))) * (INT(FORECAST!$B$12:$B$475) &lt;= Y$46) * (INT(FORECAST!$C$12:$C$475) &gt;= Y$46), 0), 0)), "")</f>
        <v>Garantizado</v>
      </c>
      <c r="Z53" s="34" t="str" cm="1">
        <f t="array" ref="Z53">IFERROR(INDEX(FORECAST!$D$12:$D$475, MATCH(1, INDEX((ISNUMBER(SEARCH($B53, FORECAST!$A$12:$A$475))) * (INT(FORECAST!$B$12:$B$475) &lt;= Z$46) * (INT(FORECAST!$C$12:$C$475) &gt;= Z$46), 0), 0)), "")</f>
        <v>Presupuesto</v>
      </c>
      <c r="AA53" s="34" t="str" cm="1">
        <f t="array" ref="AA53">IFERROR(INDEX(FORECAST!$D$12:$D$475, MATCH(1, INDEX((ISNUMBER(SEARCH($B53, FORECAST!$A$12:$A$475))) * (INT(FORECAST!$B$12:$B$475) &lt;= AA$46) * (INT(FORECAST!$C$12:$C$475) &gt;= AA$46), 0), 0)), "")</f>
        <v>Presupuesto</v>
      </c>
      <c r="AB53" s="34" t="str" cm="1">
        <f t="array" ref="AB53">IFERROR(INDEX(FORECAST!$D$12:$D$475, MATCH(1, INDEX((ISNUMBER(SEARCH($B53, FORECAST!$A$12:$A$475))) * (INT(FORECAST!$B$12:$B$475) &lt;= AB$46) * (INT(FORECAST!$C$12:$C$475) &gt;= AB$46), 0), 0)), "")</f>
        <v/>
      </c>
      <c r="AC53" s="34" t="str" cm="1">
        <f t="array" ref="AC53">IFERROR(INDEX(FORECAST!$D$12:$D$475, MATCH(1, INDEX((ISNUMBER(SEARCH($B53, FORECAST!$A$12:$A$475))) * (INT(FORECAST!$B$12:$B$475) &lt;= AC$46) * (INT(FORECAST!$C$12:$C$475) &gt;= AC$46), 0), 0)), "")</f>
        <v/>
      </c>
      <c r="AD53" s="34" t="str" cm="1">
        <f t="array" ref="AD53">IFERROR(INDEX(FORECAST!$D$12:$D$475, MATCH(1, INDEX((ISNUMBER(SEARCH($B53, FORECAST!$A$12:$A$475))) * (INT(FORECAST!$B$12:$B$475) &lt;= AD$46) * (INT(FORECAST!$C$12:$C$475) &gt;= AD$46), 0), 0)), "")</f>
        <v>Presupuesto</v>
      </c>
      <c r="AE53" s="34" t="str" cm="1">
        <f t="array" ref="AE53">IFERROR(INDEX(FORECAST!$D$12:$D$475, MATCH(1, INDEX((ISNUMBER(SEARCH($B53, FORECAST!$A$12:$A$475))) * (INT(FORECAST!$B$12:$B$475) &lt;= AE$46) * (INT(FORECAST!$C$12:$C$475) &gt;= AE$46), 0), 0)), "")</f>
        <v>Presupuesto</v>
      </c>
      <c r="AF53" s="34" t="str" cm="1">
        <f t="array" ref="AF53">IFERROR(INDEX(FORECAST!$D$12:$D$475, MATCH(1, INDEX((ISNUMBER(SEARCH($B53, FORECAST!$A$12:$A$475))) * (INT(FORECAST!$B$12:$B$475) &lt;= AF$46) * (INT(FORECAST!$C$12:$C$475) &gt;= AF$46), 0), 0)), "")</f>
        <v>Tentativo</v>
      </c>
      <c r="AG53" s="9"/>
      <c r="AH53" s="9"/>
      <c r="AI53" s="2"/>
      <c r="AJ53" s="45">
        <f t="shared" si="3"/>
        <v>0.26666666666666666</v>
      </c>
    </row>
    <row r="54" spans="1:38" x14ac:dyDescent="0.25">
      <c r="A54" s="72"/>
      <c r="B54" s="58" t="s">
        <v>80</v>
      </c>
      <c r="C54" s="59" t="str" cm="1">
        <f t="array" ref="C54">IFERROR(INDEX(FORECAST!$D$12:$D$475, MATCH(1, INDEX((ISNUMBER(SEARCH($B54, FORECAST!$A$12:$A$475))) * (INT(FORECAST!$B$12:$B$475) &lt;= C$46) * (INT(FORECAST!$C$12:$C$475) &gt;= C$46), 0), 0)), "")</f>
        <v/>
      </c>
      <c r="D54" s="59" t="str" cm="1">
        <f t="array" ref="D54">IFERROR(INDEX(FORECAST!$D$12:$D$475, MATCH(1, INDEX((ISNUMBER(SEARCH($B54, FORECAST!$A$12:$A$475))) * (INT(FORECAST!$B$12:$B$475) &lt;= D$46) * (INT(FORECAST!$C$12:$C$475) &gt;= D$46), 0), 0)), "")</f>
        <v/>
      </c>
      <c r="E54" s="59" t="str" cm="1">
        <f t="array" ref="E54">IFERROR(INDEX(FORECAST!$D$12:$D$475, MATCH(1, INDEX((ISNUMBER(SEARCH($B54, FORECAST!$A$12:$A$475))) * (INT(FORECAST!$B$12:$B$475) &lt;= E$46) * (INT(FORECAST!$C$12:$C$475) &gt;= E$46), 0), 0)), "")</f>
        <v/>
      </c>
      <c r="F54" s="59" t="str" cm="1">
        <f t="array" ref="F54">IFERROR(INDEX(FORECAST!$D$12:$D$475, MATCH(1, INDEX((ISNUMBER(SEARCH($B54, FORECAST!$A$12:$A$475))) * (INT(FORECAST!$B$12:$B$475) &lt;= F$46) * (INT(FORECAST!$C$12:$C$475) &gt;= F$46), 0), 0)), "")</f>
        <v/>
      </c>
      <c r="G54" s="59" t="str" cm="1">
        <f t="array" ref="G54">IFERROR(INDEX(FORECAST!$D$12:$D$475, MATCH(1, INDEX((ISNUMBER(SEARCH($B54, FORECAST!$A$12:$A$475))) * (INT(FORECAST!$B$12:$B$475) &lt;= G$46) * (INT(FORECAST!$C$12:$C$475) &gt;= G$46), 0), 0)), "")</f>
        <v/>
      </c>
      <c r="H54" s="59" t="str" cm="1">
        <f t="array" ref="H54">IFERROR(INDEX(FORECAST!$D$12:$D$475, MATCH(1, INDEX((ISNUMBER(SEARCH($B54, FORECAST!$A$12:$A$475))) * (INT(FORECAST!$B$12:$B$475) &lt;= H$46) * (INT(FORECAST!$C$12:$C$475) &gt;= H$46), 0), 0)), "")</f>
        <v/>
      </c>
      <c r="I54" s="59" t="str" cm="1">
        <f t="array" ref="I54">IFERROR(INDEX(FORECAST!$D$12:$D$475, MATCH(1, INDEX((ISNUMBER(SEARCH($B54, FORECAST!$A$12:$A$475))) * (INT(FORECAST!$B$12:$B$475) &lt;= I$46) * (INT(FORECAST!$C$12:$C$475) &gt;= I$46), 0), 0)), "")</f>
        <v/>
      </c>
      <c r="J54" s="59" t="str" cm="1">
        <f t="array" ref="J54">IFERROR(INDEX(FORECAST!$D$12:$D$475, MATCH(1, INDEX((ISNUMBER(SEARCH($B54, FORECAST!$A$12:$A$475))) * (INT(FORECAST!$B$12:$B$475) &lt;= J$46) * (INT(FORECAST!$C$12:$C$475) &gt;= J$46), 0), 0)), "")</f>
        <v/>
      </c>
      <c r="K54" s="59" t="str" cm="1">
        <f t="array" ref="K54">IFERROR(INDEX(FORECAST!$D$12:$D$475, MATCH(1, INDEX((ISNUMBER(SEARCH($B54, FORECAST!$A$12:$A$475))) * (INT(FORECAST!$B$12:$B$475) &lt;= K$46) * (INT(FORECAST!$C$12:$C$475) &gt;= K$46), 0), 0)), "")</f>
        <v>Garantizado</v>
      </c>
      <c r="L54" s="59" t="str" cm="1">
        <f t="array" ref="L54">IFERROR(INDEX(FORECAST!$D$12:$D$475, MATCH(1, INDEX((ISNUMBER(SEARCH($B54, FORECAST!$A$12:$A$475))) * (INT(FORECAST!$B$12:$B$475) &lt;= L$46) * (INT(FORECAST!$C$12:$C$475) &gt;= L$46), 0), 0)), "")</f>
        <v>Garantizado</v>
      </c>
      <c r="M54" s="59" t="str" cm="1">
        <f t="array" ref="M54">IFERROR(INDEX(FORECAST!$D$12:$D$475, MATCH(1, INDEX((ISNUMBER(SEARCH($B54, FORECAST!$A$12:$A$475))) * (INT(FORECAST!$B$12:$B$475) &lt;= M$46) * (INT(FORECAST!$C$12:$C$475) &gt;= M$46), 0), 0)), "")</f>
        <v/>
      </c>
      <c r="N54" s="59" t="str" cm="1">
        <f t="array" ref="N54">IFERROR(INDEX(FORECAST!$D$12:$D$475, MATCH(1, INDEX((ISNUMBER(SEARCH($B54, FORECAST!$A$12:$A$475))) * (INT(FORECAST!$B$12:$B$475) &lt;= N$46) * (INT(FORECAST!$C$12:$C$475) &gt;= N$46), 0), 0)), "")</f>
        <v/>
      </c>
      <c r="O54" s="59" t="str" cm="1">
        <f t="array" ref="O54">IFERROR(INDEX(FORECAST!$D$12:$D$475, MATCH(1, INDEX((ISNUMBER(SEARCH($B54, FORECAST!$A$12:$A$475))) * (INT(FORECAST!$B$12:$B$475) &lt;= O$46) * (INT(FORECAST!$C$12:$C$475) &gt;= O$46), 0), 0)), "")</f>
        <v/>
      </c>
      <c r="P54" s="59" t="str" cm="1">
        <f t="array" ref="P54">IFERROR(INDEX(FORECAST!$D$12:$D$475, MATCH(1, INDEX((ISNUMBER(SEARCH($B54, FORECAST!$A$12:$A$475))) * (INT(FORECAST!$B$12:$B$475) &lt;= P$46) * (INT(FORECAST!$C$12:$C$475) &gt;= P$46), 0), 0)), "")</f>
        <v/>
      </c>
      <c r="Q54" s="59" t="str" cm="1">
        <f t="array" ref="Q54">IFERROR(INDEX(FORECAST!$D$12:$D$475, MATCH(1, INDEX((ISNUMBER(SEARCH($B54, FORECAST!$A$12:$A$475))) * (INT(FORECAST!$B$12:$B$475) &lt;= Q$46) * (INT(FORECAST!$C$12:$C$475) &gt;= Q$46), 0), 0)), "")</f>
        <v/>
      </c>
      <c r="R54" s="59" t="str" cm="1">
        <f t="array" ref="R54">IFERROR(INDEX(FORECAST!$D$12:$D$475, MATCH(1, INDEX((ISNUMBER(SEARCH($B54, FORECAST!$A$12:$A$475))) * (INT(FORECAST!$B$12:$B$475) &lt;= R$46) * (INT(FORECAST!$C$12:$C$475) &gt;= R$46), 0), 0)), "")</f>
        <v/>
      </c>
      <c r="S54" s="59" t="str" cm="1">
        <f t="array" ref="S54">IFERROR(INDEX(FORECAST!$D$12:$D$475, MATCH(1, INDEX((ISNUMBER(SEARCH($B54, FORECAST!$A$12:$A$475))) * (INT(FORECAST!$B$12:$B$475) &lt;= S$46) * (INT(FORECAST!$C$12:$C$475) &gt;= S$46), 0), 0)), "")</f>
        <v>Garantizado</v>
      </c>
      <c r="T54" s="59" t="str" cm="1">
        <f t="array" ref="T54">IFERROR(INDEX(FORECAST!$D$12:$D$475, MATCH(1, INDEX((ISNUMBER(SEARCH($B54, FORECAST!$A$12:$A$475))) * (INT(FORECAST!$B$12:$B$475) &lt;= T$46) * (INT(FORECAST!$C$12:$C$475) &gt;= T$46), 0), 0)), "")</f>
        <v>Garantizado</v>
      </c>
      <c r="U54" s="59" t="str" cm="1">
        <f t="array" ref="U54">IFERROR(INDEX(FORECAST!$D$12:$D$475, MATCH(1, INDEX((ISNUMBER(SEARCH($B54, FORECAST!$A$12:$A$475))) * (INT(FORECAST!$B$12:$B$475) &lt;= U$46) * (INT(FORECAST!$C$12:$C$475) &gt;= U$46), 0), 0)), "")</f>
        <v>Garantizado</v>
      </c>
      <c r="V54" s="59" t="str" cm="1">
        <f t="array" ref="V54">IFERROR(INDEX(FORECAST!$D$12:$D$475, MATCH(1, INDEX((ISNUMBER(SEARCH($B54, FORECAST!$A$12:$A$475))) * (INT(FORECAST!$B$12:$B$475) &lt;= V$46) * (INT(FORECAST!$C$12:$C$475) &gt;= V$46), 0), 0)), "")</f>
        <v>Garantizado</v>
      </c>
      <c r="W54" s="59" t="str" cm="1">
        <f t="array" ref="W54">IFERROR(INDEX(FORECAST!$D$12:$D$475, MATCH(1, INDEX((ISNUMBER(SEARCH($B54, FORECAST!$A$12:$A$475))) * (INT(FORECAST!$B$12:$B$475) &lt;= W$46) * (INT(FORECAST!$C$12:$C$475) &gt;= W$46), 0), 0)), "")</f>
        <v>Garantizado</v>
      </c>
      <c r="X54" s="59" t="str" cm="1">
        <f t="array" ref="X54">IFERROR(INDEX(FORECAST!$D$12:$D$475, MATCH(1, INDEX((ISNUMBER(SEARCH($B54, FORECAST!$A$12:$A$475))) * (INT(FORECAST!$B$12:$B$475) &lt;= X$46) * (INT(FORECAST!$C$12:$C$475) &gt;= X$46), 0), 0)), "")</f>
        <v/>
      </c>
      <c r="Y54" s="59" t="str" cm="1">
        <f t="array" ref="Y54">IFERROR(INDEX(FORECAST!$D$12:$D$475, MATCH(1, INDEX((ISNUMBER(SEARCH($B54, FORECAST!$A$12:$A$475))) * (INT(FORECAST!$B$12:$B$475) &lt;= Y$46) * (INT(FORECAST!$C$12:$C$475) &gt;= Y$46), 0), 0)), "")</f>
        <v/>
      </c>
      <c r="Z54" s="59" t="str" cm="1">
        <f t="array" ref="Z54">IFERROR(INDEX(FORECAST!$D$12:$D$475, MATCH(1, INDEX((ISNUMBER(SEARCH($B54, FORECAST!$A$12:$A$475))) * (INT(FORECAST!$B$12:$B$475) &lt;= Z$46) * (INT(FORECAST!$C$12:$C$475) &gt;= Z$46), 0), 0)), "")</f>
        <v/>
      </c>
      <c r="AA54" s="59" t="str" cm="1">
        <f t="array" ref="AA54">IFERROR(INDEX(FORECAST!$D$12:$D$475, MATCH(1, INDEX((ISNUMBER(SEARCH($B54, FORECAST!$A$12:$A$475))) * (INT(FORECAST!$B$12:$B$475) &lt;= AA$46) * (INT(FORECAST!$C$12:$C$475) &gt;= AA$46), 0), 0)), "")</f>
        <v/>
      </c>
      <c r="AB54" s="59" t="str" cm="1">
        <f t="array" ref="AB54">IFERROR(INDEX(FORECAST!$D$12:$D$475, MATCH(1, INDEX((ISNUMBER(SEARCH($B54, FORECAST!$A$12:$A$475))) * (INT(FORECAST!$B$12:$B$475) &lt;= AB$46) * (INT(FORECAST!$C$12:$C$475) &gt;= AB$46), 0), 0)), "")</f>
        <v/>
      </c>
      <c r="AC54" s="59" t="str" cm="1">
        <f t="array" ref="AC54">IFERROR(INDEX(FORECAST!$D$12:$D$475, MATCH(1, INDEX((ISNUMBER(SEARCH($B54, FORECAST!$A$12:$A$475))) * (INT(FORECAST!$B$12:$B$475) &lt;= AC$46) * (INT(FORECAST!$C$12:$C$475) &gt;= AC$46), 0), 0)), "")</f>
        <v/>
      </c>
      <c r="AD54" s="59" t="str" cm="1">
        <f t="array" ref="AD54">IFERROR(INDEX(FORECAST!$D$12:$D$475, MATCH(1, INDEX((ISNUMBER(SEARCH($B54, FORECAST!$A$12:$A$475))) * (INT(FORECAST!$B$12:$B$475) &lt;= AD$46) * (INT(FORECAST!$C$12:$C$475) &gt;= AD$46), 0), 0)), "")</f>
        <v>Garantizado</v>
      </c>
      <c r="AE54" s="59" t="str" cm="1">
        <f t="array" ref="AE54">IFERROR(INDEX(FORECAST!$D$12:$D$475, MATCH(1, INDEX((ISNUMBER(SEARCH($B54, FORECAST!$A$12:$A$475))) * (INT(FORECAST!$B$12:$B$475) &lt;= AE$46) * (INT(FORECAST!$C$12:$C$475) &gt;= AE$46), 0), 0)), "")</f>
        <v>Garantizado</v>
      </c>
      <c r="AF54" s="59" t="str" cm="1">
        <f t="array" ref="AF54">IFERROR(INDEX(FORECAST!$D$12:$D$475, MATCH(1, INDEX((ISNUMBER(SEARCH($B54, FORECAST!$A$12:$A$475))) * (INT(FORECAST!$B$12:$B$475) &lt;= AF$46) * (INT(FORECAST!$C$12:$C$475) &gt;= AF$46), 0), 0)), "")</f>
        <v/>
      </c>
      <c r="AG54" s="9"/>
      <c r="AH54" s="9"/>
      <c r="AI54" s="2"/>
      <c r="AJ54" s="45">
        <f t="shared" si="3"/>
        <v>0.3</v>
      </c>
    </row>
    <row r="55" spans="1:38" x14ac:dyDescent="0.25">
      <c r="AF55" s="10"/>
      <c r="AG55" s="9"/>
      <c r="AH55" s="9"/>
      <c r="AI55" s="2"/>
    </row>
    <row r="56" spans="1:38" x14ac:dyDescent="0.25">
      <c r="C56" s="13" t="s">
        <v>503</v>
      </c>
      <c r="D56" s="7" t="s">
        <v>504</v>
      </c>
      <c r="E56" s="7" t="s">
        <v>505</v>
      </c>
      <c r="F56" s="1" t="s">
        <v>506</v>
      </c>
      <c r="G56" s="1" t="s">
        <v>507</v>
      </c>
      <c r="H56" s="1" t="s">
        <v>508</v>
      </c>
      <c r="I56" s="1" t="s">
        <v>502</v>
      </c>
      <c r="J56" s="1" t="s">
        <v>503</v>
      </c>
      <c r="K56" s="7" t="s">
        <v>504</v>
      </c>
      <c r="L56" s="7" t="s">
        <v>505</v>
      </c>
      <c r="M56" s="16" t="s">
        <v>506</v>
      </c>
      <c r="N56" s="16" t="s">
        <v>507</v>
      </c>
      <c r="O56" s="1" t="s">
        <v>508</v>
      </c>
      <c r="P56" s="1" t="s">
        <v>502</v>
      </c>
      <c r="Q56" s="1" t="s">
        <v>503</v>
      </c>
      <c r="R56" s="7" t="s">
        <v>509</v>
      </c>
      <c r="S56" s="7" t="s">
        <v>510</v>
      </c>
      <c r="T56" s="1" t="s">
        <v>511</v>
      </c>
      <c r="U56" s="16" t="s">
        <v>512</v>
      </c>
      <c r="V56" s="1" t="s">
        <v>513</v>
      </c>
      <c r="W56" s="1" t="s">
        <v>514</v>
      </c>
      <c r="X56" s="1" t="s">
        <v>515</v>
      </c>
      <c r="Y56" s="7" t="s">
        <v>509</v>
      </c>
      <c r="Z56" s="24" t="s">
        <v>510</v>
      </c>
      <c r="AA56" s="13" t="s">
        <v>511</v>
      </c>
      <c r="AB56" s="1" t="s">
        <v>512</v>
      </c>
      <c r="AC56" s="1" t="s">
        <v>513</v>
      </c>
      <c r="AD56" s="1" t="s">
        <v>514</v>
      </c>
      <c r="AE56" s="16" t="s">
        <v>515</v>
      </c>
      <c r="AF56" s="24" t="s">
        <v>509</v>
      </c>
      <c r="AG56" s="24" t="s">
        <v>510</v>
      </c>
      <c r="AH56" s="9"/>
      <c r="AI56" s="2"/>
    </row>
    <row r="57" spans="1:38" x14ac:dyDescent="0.25">
      <c r="C57" s="61">
        <v>46143</v>
      </c>
      <c r="D57" s="61">
        <v>46144</v>
      </c>
      <c r="E57" s="61">
        <v>46145</v>
      </c>
      <c r="F57" s="61">
        <v>46146</v>
      </c>
      <c r="G57" s="61">
        <v>46147</v>
      </c>
      <c r="H57" s="61">
        <v>46148</v>
      </c>
      <c r="I57" s="61">
        <v>46149</v>
      </c>
      <c r="J57" s="61">
        <v>46150</v>
      </c>
      <c r="K57" s="61">
        <v>46151</v>
      </c>
      <c r="L57" s="61">
        <v>46152</v>
      </c>
      <c r="M57" s="61">
        <v>46153</v>
      </c>
      <c r="N57" s="61">
        <v>46154</v>
      </c>
      <c r="O57" s="61">
        <v>46155</v>
      </c>
      <c r="P57" s="61">
        <v>46156</v>
      </c>
      <c r="Q57" s="61">
        <v>46157</v>
      </c>
      <c r="R57" s="61">
        <v>46158</v>
      </c>
      <c r="S57" s="61">
        <v>46159</v>
      </c>
      <c r="T57" s="61">
        <v>46160</v>
      </c>
      <c r="U57" s="61">
        <v>46161</v>
      </c>
      <c r="V57" s="61">
        <v>46162</v>
      </c>
      <c r="W57" s="61">
        <v>46163</v>
      </c>
      <c r="X57" s="61">
        <v>46164</v>
      </c>
      <c r="Y57" s="61">
        <v>46165</v>
      </c>
      <c r="Z57" s="61">
        <v>46166</v>
      </c>
      <c r="AA57" s="61">
        <v>46167</v>
      </c>
      <c r="AB57" s="61">
        <v>46168</v>
      </c>
      <c r="AC57" s="61">
        <v>46169</v>
      </c>
      <c r="AD57" s="61">
        <v>46170</v>
      </c>
      <c r="AE57" s="61">
        <v>46171</v>
      </c>
      <c r="AF57" s="61">
        <v>46172</v>
      </c>
      <c r="AG57" s="61">
        <v>46173</v>
      </c>
      <c r="AH57" s="9"/>
      <c r="AI57" s="2"/>
      <c r="AJ57" s="22" t="s">
        <v>516</v>
      </c>
    </row>
    <row r="58" spans="1:38" ht="15" customHeight="1" x14ac:dyDescent="0.25">
      <c r="A58" s="70" t="s">
        <v>527</v>
      </c>
      <c r="B58" s="25" t="s">
        <v>518</v>
      </c>
      <c r="C58" s="36" t="str" cm="1">
        <f t="array" ref="C58">IFERROR(INDEX(FORECAST!$D$12:$D$475, MATCH(1, INDEX((ISNUMBER(SEARCH($B58, FORECAST!$A$12:$A$475))) * (INT(FORECAST!$B$12:$B$475) &lt;= C$57) * (INT(FORECAST!$C$12:$C$475) &gt;= C$57), 0), 0)), "")</f>
        <v/>
      </c>
      <c r="D58" s="36" t="str" cm="1">
        <f t="array" ref="D58">IFERROR(INDEX(FORECAST!$D$12:$D$475, MATCH(1, INDEX((ISNUMBER(SEARCH($B58, FORECAST!$A$12:$A$475))) * (INT(FORECAST!$B$12:$B$475) &lt;= D$57) * (INT(FORECAST!$C$12:$C$475) &gt;= D$57), 0), 0)), "")</f>
        <v/>
      </c>
      <c r="E58" s="36" t="str" cm="1">
        <f t="array" ref="E58">IFERROR(INDEX(FORECAST!$D$12:$D$475, MATCH(1, INDEX((ISNUMBER(SEARCH($B58, FORECAST!$A$12:$A$475))) * (INT(FORECAST!$B$12:$B$475) &lt;= E$57) * (INT(FORECAST!$C$12:$C$475) &gt;= E$57), 0), 0)), "")</f>
        <v/>
      </c>
      <c r="F58" s="36" t="str" cm="1">
        <f t="array" ref="F58">IFERROR(INDEX(FORECAST!$D$12:$D$475, MATCH(1, INDEX((ISNUMBER(SEARCH($B58, FORECAST!$A$12:$A$475))) * (INT(FORECAST!$B$12:$B$475) &lt;= F$57) * (INT(FORECAST!$C$12:$C$475) &gt;= F$57), 0), 0)), "")</f>
        <v>Garantizado</v>
      </c>
      <c r="G58" s="36" t="str" cm="1">
        <f t="array" ref="G58">IFERROR(INDEX(FORECAST!$D$12:$D$475, MATCH(1, INDEX((ISNUMBER(SEARCH($B58, FORECAST!$A$12:$A$475))) * (INT(FORECAST!$B$12:$B$475) &lt;= G$57) * (INT(FORECAST!$C$12:$C$475) &gt;= G$57), 0), 0)), "")</f>
        <v>Garantizado</v>
      </c>
      <c r="H58" s="36" t="str" cm="1">
        <f t="array" ref="H58">IFERROR(INDEX(FORECAST!$D$12:$D$475, MATCH(1, INDEX((ISNUMBER(SEARCH($B58, FORECAST!$A$12:$A$475))) * (INT(FORECAST!$B$12:$B$475) &lt;= H$57) * (INT(FORECAST!$C$12:$C$475) &gt;= H$57), 0), 0)), "")</f>
        <v>Garantizado</v>
      </c>
      <c r="I58" s="36" t="str" cm="1">
        <f t="array" ref="I58">IFERROR(INDEX(FORECAST!$D$12:$D$475, MATCH(1, INDEX((ISNUMBER(SEARCH($B58, FORECAST!$A$12:$A$475))) * (INT(FORECAST!$B$12:$B$475) &lt;= I$57) * (INT(FORECAST!$C$12:$C$475) &gt;= I$57), 0), 0)), "")</f>
        <v>Garantizado</v>
      </c>
      <c r="J58" s="36" t="str" cm="1">
        <f t="array" ref="J58">IFERROR(INDEX(FORECAST!$D$12:$D$475, MATCH(1, INDEX((ISNUMBER(SEARCH($B58, FORECAST!$A$12:$A$475))) * (INT(FORECAST!$B$12:$B$475) &lt;= J$57) * (INT(FORECAST!$C$12:$C$475) &gt;= J$57), 0), 0)), "")</f>
        <v>Garantizado</v>
      </c>
      <c r="K58" s="36" t="str" cm="1">
        <f t="array" ref="K58">IFERROR(INDEX(FORECAST!$D$12:$D$475, MATCH(1, INDEX((ISNUMBER(SEARCH($B58, FORECAST!$A$12:$A$475))) * (INT(FORECAST!$B$12:$B$475) &lt;= K$57) * (INT(FORECAST!$C$12:$C$475) &gt;= K$57), 0), 0)), "")</f>
        <v/>
      </c>
      <c r="L58" s="36" t="str" cm="1">
        <f t="array" ref="L58">IFERROR(INDEX(FORECAST!$D$12:$D$475, MATCH(1, INDEX((ISNUMBER(SEARCH($B58, FORECAST!$A$12:$A$475))) * (INT(FORECAST!$B$12:$B$475) &lt;= L$57) * (INT(FORECAST!$C$12:$C$475) &gt;= L$57), 0), 0)), "")</f>
        <v/>
      </c>
      <c r="M58" s="36" t="str" cm="1">
        <f t="array" ref="M58">IFERROR(INDEX(FORECAST!$D$12:$D$475, MATCH(1, INDEX((ISNUMBER(SEARCH($B58, FORECAST!$A$12:$A$475))) * (INT(FORECAST!$B$12:$B$475) &lt;= M$57) * (INT(FORECAST!$C$12:$C$475) &gt;= M$57), 0), 0)), "")</f>
        <v>Presupuesto</v>
      </c>
      <c r="N58" s="36" t="str" cm="1">
        <f t="array" ref="N58">IFERROR(INDEX(FORECAST!$D$12:$D$475, MATCH(1, INDEX((ISNUMBER(SEARCH($B58, FORECAST!$A$12:$A$475))) * (INT(FORECAST!$B$12:$B$475) &lt;= N$57) * (INT(FORECAST!$C$12:$C$475) &gt;= N$57), 0), 0)), "")</f>
        <v>Garantizado</v>
      </c>
      <c r="O58" s="36" t="str" cm="1">
        <f t="array" ref="O58">IFERROR(INDEX(FORECAST!$D$12:$D$475, MATCH(1, INDEX((ISNUMBER(SEARCH($B58, FORECAST!$A$12:$A$475))) * (INT(FORECAST!$B$12:$B$475) &lt;= O$57) * (INT(FORECAST!$C$12:$C$475) &gt;= O$57), 0), 0)), "")</f>
        <v/>
      </c>
      <c r="P58" s="36" t="str" cm="1">
        <f t="array" ref="P58">IFERROR(INDEX(FORECAST!$D$12:$D$475, MATCH(1, INDEX((ISNUMBER(SEARCH($B58, FORECAST!$A$12:$A$475))) * (INT(FORECAST!$B$12:$B$475) &lt;= P$57) * (INT(FORECAST!$C$12:$C$475) &gt;= P$57), 0), 0)), "")</f>
        <v/>
      </c>
      <c r="Q58" s="36" t="str" cm="1">
        <f t="array" ref="Q58">IFERROR(INDEX(FORECAST!$D$12:$D$475, MATCH(1, INDEX((ISNUMBER(SEARCH($B58, FORECAST!$A$12:$A$475))) * (INT(FORECAST!$B$12:$B$475) &lt;= Q$57) * (INT(FORECAST!$C$12:$C$475) &gt;= Q$57), 0), 0)), "")</f>
        <v/>
      </c>
      <c r="R58" s="36" t="str" cm="1">
        <f t="array" ref="R58">IFERROR(INDEX(FORECAST!$D$12:$D$475, MATCH(1, INDEX((ISNUMBER(SEARCH($B58, FORECAST!$A$12:$A$475))) * (INT(FORECAST!$B$12:$B$475) &lt;= R$57) * (INT(FORECAST!$C$12:$C$475) &gt;= R$57), 0), 0)), "")</f>
        <v>Tentativo</v>
      </c>
      <c r="S58" s="36" t="str" cm="1">
        <f t="array" ref="S58">IFERROR(INDEX(FORECAST!$D$12:$D$475, MATCH(1, INDEX((ISNUMBER(SEARCH($B58, FORECAST!$A$12:$A$475))) * (INT(FORECAST!$B$12:$B$475) &lt;= S$57) * (INT(FORECAST!$C$12:$C$475) &gt;= S$57), 0), 0)), "")</f>
        <v>Presupuesto</v>
      </c>
      <c r="T58" s="36" t="str" cm="1">
        <f t="array" ref="T58">IFERROR(INDEX(FORECAST!$D$12:$D$475, MATCH(1, INDEX((ISNUMBER(SEARCH($B58, FORECAST!$A$12:$A$475))) * (INT(FORECAST!$B$12:$B$475) &lt;= T$57) * (INT(FORECAST!$C$12:$C$475) &gt;= T$57), 0), 0)), "")</f>
        <v>Garantizado</v>
      </c>
      <c r="U58" s="36" t="str" cm="1">
        <f t="array" ref="U58">IFERROR(INDEX(FORECAST!$D$12:$D$475, MATCH(1, INDEX((ISNUMBER(SEARCH($B58, FORECAST!$A$12:$A$475))) * (INT(FORECAST!$B$12:$B$475) &lt;= U$57) * (INT(FORECAST!$C$12:$C$475) &gt;= U$57), 0), 0)), "")</f>
        <v>Garantizado</v>
      </c>
      <c r="V58" s="36" t="str" cm="1">
        <f t="array" ref="V58">IFERROR(INDEX(FORECAST!$D$12:$D$475, MATCH(1, INDEX((ISNUMBER(SEARCH($B58, FORECAST!$A$12:$A$475))) * (INT(FORECAST!$B$12:$B$475) &lt;= V$57) * (INT(FORECAST!$C$12:$C$475) &gt;= V$57), 0), 0)), "")</f>
        <v/>
      </c>
      <c r="W58" s="36" t="str" cm="1">
        <f t="array" ref="W58">IFERROR(INDEX(FORECAST!$D$12:$D$475, MATCH(1, INDEX((ISNUMBER(SEARCH($B58, FORECAST!$A$12:$A$475))) * (INT(FORECAST!$B$12:$B$475) &lt;= W$57) * (INT(FORECAST!$C$12:$C$475) &gt;= W$57), 0), 0)), "")</f>
        <v>Presupuesto</v>
      </c>
      <c r="X58" s="36" t="str" cm="1">
        <f t="array" ref="X58">IFERROR(INDEX(FORECAST!$D$12:$D$475, MATCH(1, INDEX((ISNUMBER(SEARCH($B58, FORECAST!$A$12:$A$475))) * (INT(FORECAST!$B$12:$B$475) &lt;= X$57) * (INT(FORECAST!$C$12:$C$475) &gt;= X$57), 0), 0)), "")</f>
        <v>Garantizado</v>
      </c>
      <c r="Y58" s="36" t="str" cm="1">
        <f t="array" ref="Y58">IFERROR(INDEX(FORECAST!$D$12:$D$475, MATCH(1, INDEX((ISNUMBER(SEARCH($B58, FORECAST!$A$12:$A$475))) * (INT(FORECAST!$B$12:$B$475) &lt;= Y$57) * (INT(FORECAST!$C$12:$C$475) &gt;= Y$57), 0), 0)), "")</f>
        <v>Garantizado</v>
      </c>
      <c r="Z58" s="36" t="str" cm="1">
        <f t="array" ref="Z58">IFERROR(INDEX(FORECAST!$D$12:$D$475, MATCH(1, INDEX((ISNUMBER(SEARCH($B58, FORECAST!$A$12:$A$475))) * (INT(FORECAST!$B$12:$B$475) &lt;= Z$57) * (INT(FORECAST!$C$12:$C$475) &gt;= Z$57), 0), 0)), "")</f>
        <v>Garantizado</v>
      </c>
      <c r="AA58" s="36" t="str" cm="1">
        <f t="array" ref="AA58">IFERROR(INDEX(FORECAST!$D$12:$D$475, MATCH(1, INDEX((ISNUMBER(SEARCH($B58, FORECAST!$A$12:$A$475))) * (INT(FORECAST!$B$12:$B$475) &lt;= AA$57) * (INT(FORECAST!$C$12:$C$475) &gt;= AA$57), 0), 0)), "")</f>
        <v>Garantizado</v>
      </c>
      <c r="AB58" s="36" t="str" cm="1">
        <f t="array" ref="AB58">IFERROR(INDEX(FORECAST!$D$12:$D$475, MATCH(1, INDEX((ISNUMBER(SEARCH($B58, FORECAST!$A$12:$A$475))) * (INT(FORECAST!$B$12:$B$475) &lt;= AB$57) * (INT(FORECAST!$C$12:$C$475) &gt;= AB$57), 0), 0)), "")</f>
        <v>Garantizado</v>
      </c>
      <c r="AC58" s="36" t="str" cm="1">
        <f t="array" ref="AC58">IFERROR(INDEX(FORECAST!$D$12:$D$475, MATCH(1, INDEX((ISNUMBER(SEARCH($B58, FORECAST!$A$12:$A$475))) * (INT(FORECAST!$B$12:$B$475) &lt;= AC$57) * (INT(FORECAST!$C$12:$C$475) &gt;= AC$57), 0), 0)), "")</f>
        <v>Garantizado</v>
      </c>
      <c r="AD58" s="36" t="str" cm="1">
        <f t="array" ref="AD58">IFERROR(INDEX(FORECAST!$D$12:$D$475, MATCH(1, INDEX((ISNUMBER(SEARCH($B58, FORECAST!$A$12:$A$475))) * (INT(FORECAST!$B$12:$B$475) &lt;= AD$57) * (INT(FORECAST!$C$12:$C$475) &gt;= AD$57), 0), 0)), "")</f>
        <v>Garantizado</v>
      </c>
      <c r="AE58" s="36" t="str" cm="1">
        <f t="array" ref="AE58">IFERROR(INDEX(FORECAST!$D$12:$D$475, MATCH(1, INDEX((ISNUMBER(SEARCH($B58, FORECAST!$A$12:$A$475))) * (INT(FORECAST!$B$12:$B$475) &lt;= AE$57) * (INT(FORECAST!$C$12:$C$475) &gt;= AE$57), 0), 0)), "")</f>
        <v>Garantizado</v>
      </c>
      <c r="AF58" s="36" t="str" cm="1">
        <f t="array" ref="AF58">IFERROR(INDEX(FORECAST!$D$12:$D$475, MATCH(1, INDEX((ISNUMBER(SEARCH($B58, FORECAST!$A$12:$A$475))) * (INT(FORECAST!$B$12:$B$475) &lt;= AF$57) * (INT(FORECAST!$C$12:$C$475) &gt;= AF$57), 0), 0)), "")</f>
        <v/>
      </c>
      <c r="AG58" s="36" t="str" cm="1">
        <f t="array" ref="AG58">IFERROR(INDEX(FORECAST!$D$12:$D$475, MATCH(1, INDEX((ISNUMBER(SEARCH($B58, FORECAST!$A$12:$A$475))) * (INT(FORECAST!$B$12:$B$475) &lt;= AG$57) * (INT(FORECAST!$C$12:$C$475) &gt;= AG$57), 0), 0)), "")</f>
        <v/>
      </c>
      <c r="AH58" s="9"/>
      <c r="AI58" s="2"/>
      <c r="AJ58" s="45">
        <f>COUNTIF(C58:AG58,"Garantizado")/31</f>
        <v>0.5161290322580645</v>
      </c>
    </row>
    <row r="59" spans="1:38" x14ac:dyDescent="0.25">
      <c r="A59" s="71"/>
      <c r="B59" s="25" t="s">
        <v>519</v>
      </c>
      <c r="C59" s="36" t="str" cm="1">
        <f t="array" ref="C59">IFERROR(INDEX(FORECAST!$D$12:$D$475, MATCH(1, INDEX((ISNUMBER(SEARCH($B59, FORECAST!$A$12:$A$475))) * (INT(FORECAST!$B$12:$B$475) &lt;= C$57) * (INT(FORECAST!$C$12:$C$475) &gt;= C$57), 0), 0)), "")</f>
        <v/>
      </c>
      <c r="D59" s="36" t="str" cm="1">
        <f t="array" ref="D59">IFERROR(INDEX(FORECAST!$D$12:$D$475, MATCH(1, INDEX((ISNUMBER(SEARCH($B59, FORECAST!$A$12:$A$475))) * (INT(FORECAST!$B$12:$B$475) &lt;= D$57) * (INT(FORECAST!$C$12:$C$475) &gt;= D$57), 0), 0)), "")</f>
        <v/>
      </c>
      <c r="E59" s="36" t="str" cm="1">
        <f t="array" ref="E59">IFERROR(INDEX(FORECAST!$D$12:$D$475, MATCH(1, INDEX((ISNUMBER(SEARCH($B59, FORECAST!$A$12:$A$475))) * (INT(FORECAST!$B$12:$B$475) &lt;= E$57) * (INT(FORECAST!$C$12:$C$475) &gt;= E$57), 0), 0)), "")</f>
        <v/>
      </c>
      <c r="F59" s="36" t="str" cm="1">
        <f t="array" ref="F59">IFERROR(INDEX(FORECAST!$D$12:$D$475, MATCH(1, INDEX((ISNUMBER(SEARCH($B59, FORECAST!$A$12:$A$475))) * (INT(FORECAST!$B$12:$B$475) &lt;= F$57) * (INT(FORECAST!$C$12:$C$475) &gt;= F$57), 0), 0)), "")</f>
        <v>Tentativo</v>
      </c>
      <c r="G59" s="36" t="str" cm="1">
        <f t="array" ref="G59">IFERROR(INDEX(FORECAST!$D$12:$D$475, MATCH(1, INDEX((ISNUMBER(SEARCH($B59, FORECAST!$A$12:$A$475))) * (INT(FORECAST!$B$12:$B$475) &lt;= G$57) * (INT(FORECAST!$C$12:$C$475) &gt;= G$57), 0), 0)), "")</f>
        <v/>
      </c>
      <c r="H59" s="36" t="str" cm="1">
        <f t="array" ref="H59">IFERROR(INDEX(FORECAST!$D$12:$D$475, MATCH(1, INDEX((ISNUMBER(SEARCH($B59, FORECAST!$A$12:$A$475))) * (INT(FORECAST!$B$12:$B$475) &lt;= H$57) * (INT(FORECAST!$C$12:$C$475) &gt;= H$57), 0), 0)), "")</f>
        <v>Garantizado</v>
      </c>
      <c r="I59" s="36" t="str" cm="1">
        <f t="array" ref="I59">IFERROR(INDEX(FORECAST!$D$12:$D$475, MATCH(1, INDEX((ISNUMBER(SEARCH($B59, FORECAST!$A$12:$A$475))) * (INT(FORECAST!$B$12:$B$475) &lt;= I$57) * (INT(FORECAST!$C$12:$C$475) &gt;= I$57), 0), 0)), "")</f>
        <v>Garantizado</v>
      </c>
      <c r="J59" s="36" t="str" cm="1">
        <f t="array" ref="J59">IFERROR(INDEX(FORECAST!$D$12:$D$475, MATCH(1, INDEX((ISNUMBER(SEARCH($B59, FORECAST!$A$12:$A$475))) * (INT(FORECAST!$B$12:$B$475) &lt;= J$57) * (INT(FORECAST!$C$12:$C$475) &gt;= J$57), 0), 0)), "")</f>
        <v/>
      </c>
      <c r="K59" s="36" t="str" cm="1">
        <f t="array" ref="K59">IFERROR(INDEX(FORECAST!$D$12:$D$475, MATCH(1, INDEX((ISNUMBER(SEARCH($B59, FORECAST!$A$12:$A$475))) * (INT(FORECAST!$B$12:$B$475) &lt;= K$57) * (INT(FORECAST!$C$12:$C$475) &gt;= K$57), 0), 0)), "")</f>
        <v/>
      </c>
      <c r="L59" s="36" t="str" cm="1">
        <f t="array" ref="L59">IFERROR(INDEX(FORECAST!$D$12:$D$475, MATCH(1, INDEX((ISNUMBER(SEARCH($B59, FORECAST!$A$12:$A$475))) * (INT(FORECAST!$B$12:$B$475) &lt;= L$57) * (INT(FORECAST!$C$12:$C$475) &gt;= L$57), 0), 0)), "")</f>
        <v/>
      </c>
      <c r="M59" s="36" t="str" cm="1">
        <f t="array" ref="M59">IFERROR(INDEX(FORECAST!$D$12:$D$475, MATCH(1, INDEX((ISNUMBER(SEARCH($B59, FORECAST!$A$12:$A$475))) * (INT(FORECAST!$B$12:$B$475) &lt;= M$57) * (INT(FORECAST!$C$12:$C$475) &gt;= M$57), 0), 0)), "")</f>
        <v/>
      </c>
      <c r="N59" s="36" t="str" cm="1">
        <f t="array" ref="N59">IFERROR(INDEX(FORECAST!$D$12:$D$475, MATCH(1, INDEX((ISNUMBER(SEARCH($B59, FORECAST!$A$12:$A$475))) * (INT(FORECAST!$B$12:$B$475) &lt;= N$57) * (INT(FORECAST!$C$12:$C$475) &gt;= N$57), 0), 0)), "")</f>
        <v>Tentativo</v>
      </c>
      <c r="O59" s="36" t="str" cm="1">
        <f t="array" ref="O59">IFERROR(INDEX(FORECAST!$D$12:$D$475, MATCH(1, INDEX((ISNUMBER(SEARCH($B59, FORECAST!$A$12:$A$475))) * (INT(FORECAST!$B$12:$B$475) &lt;= O$57) * (INT(FORECAST!$C$12:$C$475) &gt;= O$57), 0), 0)), "")</f>
        <v>Tentativo</v>
      </c>
      <c r="P59" s="36" t="str" cm="1">
        <f t="array" ref="P59">IFERROR(INDEX(FORECAST!$D$12:$D$475, MATCH(1, INDEX((ISNUMBER(SEARCH($B59, FORECAST!$A$12:$A$475))) * (INT(FORECAST!$B$12:$B$475) &lt;= P$57) * (INT(FORECAST!$C$12:$C$475) &gt;= P$57), 0), 0)), "")</f>
        <v>Presupuesto</v>
      </c>
      <c r="Q59" s="36" t="str" cm="1">
        <f t="array" ref="Q59">IFERROR(INDEX(FORECAST!$D$12:$D$475, MATCH(1, INDEX((ISNUMBER(SEARCH($B59, FORECAST!$A$12:$A$475))) * (INT(FORECAST!$B$12:$B$475) &lt;= Q$57) * (INT(FORECAST!$C$12:$C$475) &gt;= Q$57), 0), 0)), "")</f>
        <v/>
      </c>
      <c r="R59" s="36" t="str" cm="1">
        <f t="array" ref="R59">IFERROR(INDEX(FORECAST!$D$12:$D$475, MATCH(1, INDEX((ISNUMBER(SEARCH($B59, FORECAST!$A$12:$A$475))) * (INT(FORECAST!$B$12:$B$475) &lt;= R$57) * (INT(FORECAST!$C$12:$C$475) &gt;= R$57), 0), 0)), "")</f>
        <v>Tentativo</v>
      </c>
      <c r="S59" s="36" t="str" cm="1">
        <f t="array" ref="S59">IFERROR(INDEX(FORECAST!$D$12:$D$475, MATCH(1, INDEX((ISNUMBER(SEARCH($B59, FORECAST!$A$12:$A$475))) * (INT(FORECAST!$B$12:$B$475) &lt;= S$57) * (INT(FORECAST!$C$12:$C$475) &gt;= S$57), 0), 0)), "")</f>
        <v/>
      </c>
      <c r="T59" s="36" t="str" cm="1">
        <f t="array" ref="T59">IFERROR(INDEX(FORECAST!$D$12:$D$475, MATCH(1, INDEX((ISNUMBER(SEARCH($B59, FORECAST!$A$12:$A$475))) * (INT(FORECAST!$B$12:$B$475) &lt;= T$57) * (INT(FORECAST!$C$12:$C$475) &gt;= T$57), 0), 0)), "")</f>
        <v/>
      </c>
      <c r="U59" s="36" t="str" cm="1">
        <f t="array" ref="U59">IFERROR(INDEX(FORECAST!$D$12:$D$475, MATCH(1, INDEX((ISNUMBER(SEARCH($B59, FORECAST!$A$12:$A$475))) * (INT(FORECAST!$B$12:$B$475) &lt;= U$57) * (INT(FORECAST!$C$12:$C$475) &gt;= U$57), 0), 0)), "")</f>
        <v/>
      </c>
      <c r="V59" s="36" t="str" cm="1">
        <f t="array" ref="V59">IFERROR(INDEX(FORECAST!$D$12:$D$475, MATCH(1, INDEX((ISNUMBER(SEARCH($B59, FORECAST!$A$12:$A$475))) * (INT(FORECAST!$B$12:$B$475) &lt;= V$57) * (INT(FORECAST!$C$12:$C$475) &gt;= V$57), 0), 0)), "")</f>
        <v/>
      </c>
      <c r="W59" s="36" t="str" cm="1">
        <f t="array" ref="W59">IFERROR(INDEX(FORECAST!$D$12:$D$475, MATCH(1, INDEX((ISNUMBER(SEARCH($B59, FORECAST!$A$12:$A$475))) * (INT(FORECAST!$B$12:$B$475) &lt;= W$57) * (INT(FORECAST!$C$12:$C$475) &gt;= W$57), 0), 0)), "")</f>
        <v>Garantizado</v>
      </c>
      <c r="X59" s="36" t="str" cm="1">
        <f t="array" ref="X59">IFERROR(INDEX(FORECAST!$D$12:$D$475, MATCH(1, INDEX((ISNUMBER(SEARCH($B59, FORECAST!$A$12:$A$475))) * (INT(FORECAST!$B$12:$B$475) &lt;= X$57) * (INT(FORECAST!$C$12:$C$475) &gt;= X$57), 0), 0)), "")</f>
        <v>Garantizado</v>
      </c>
      <c r="Y59" s="36" t="str" cm="1">
        <f t="array" ref="Y59">IFERROR(INDEX(FORECAST!$D$12:$D$475, MATCH(1, INDEX((ISNUMBER(SEARCH($B59, FORECAST!$A$12:$A$475))) * (INT(FORECAST!$B$12:$B$475) &lt;= Y$57) * (INT(FORECAST!$C$12:$C$475) &gt;= Y$57), 0), 0)), "")</f>
        <v>Garantizado</v>
      </c>
      <c r="Z59" s="36" t="str" cm="1">
        <f t="array" ref="Z59">IFERROR(INDEX(FORECAST!$D$12:$D$475, MATCH(1, INDEX((ISNUMBER(SEARCH($B59, FORECAST!$A$12:$A$475))) * (INT(FORECAST!$B$12:$B$475) &lt;= Z$57) * (INT(FORECAST!$C$12:$C$475) &gt;= Z$57), 0), 0)), "")</f>
        <v>Garantizado</v>
      </c>
      <c r="AA59" s="36" t="str" cm="1">
        <f t="array" ref="AA59">IFERROR(INDEX(FORECAST!$D$12:$D$475, MATCH(1, INDEX((ISNUMBER(SEARCH($B59, FORECAST!$A$12:$A$475))) * (INT(FORECAST!$B$12:$B$475) &lt;= AA$57) * (INT(FORECAST!$C$12:$C$475) &gt;= AA$57), 0), 0)), "")</f>
        <v/>
      </c>
      <c r="AB59" s="36" t="str" cm="1">
        <f t="array" ref="AB59">IFERROR(INDEX(FORECAST!$D$12:$D$475, MATCH(1, INDEX((ISNUMBER(SEARCH($B59, FORECAST!$A$12:$A$475))) * (INT(FORECAST!$B$12:$B$475) &lt;= AB$57) * (INT(FORECAST!$C$12:$C$475) &gt;= AB$57), 0), 0)), "")</f>
        <v>Presupuesto</v>
      </c>
      <c r="AC59" s="36" t="str" cm="1">
        <f t="array" ref="AC59">IFERROR(INDEX(FORECAST!$D$12:$D$475, MATCH(1, INDEX((ISNUMBER(SEARCH($B59, FORECAST!$A$12:$A$475))) * (INT(FORECAST!$B$12:$B$475) &lt;= AC$57) * (INT(FORECAST!$C$12:$C$475) &gt;= AC$57), 0), 0)), "")</f>
        <v>Presupuesto</v>
      </c>
      <c r="AD59" s="36" t="str" cm="1">
        <f t="array" ref="AD59">IFERROR(INDEX(FORECAST!$D$12:$D$475, MATCH(1, INDEX((ISNUMBER(SEARCH($B59, FORECAST!$A$12:$A$475))) * (INT(FORECAST!$B$12:$B$475) &lt;= AD$57) * (INT(FORECAST!$C$12:$C$475) &gt;= AD$57), 0), 0)), "")</f>
        <v>Presupuesto</v>
      </c>
      <c r="AE59" s="36" t="str" cm="1">
        <f t="array" ref="AE59">IFERROR(INDEX(FORECAST!$D$12:$D$475, MATCH(1, INDEX((ISNUMBER(SEARCH($B59, FORECAST!$A$12:$A$475))) * (INT(FORECAST!$B$12:$B$475) &lt;= AE$57) * (INT(FORECAST!$C$12:$C$475) &gt;= AE$57), 0), 0)), "")</f>
        <v/>
      </c>
      <c r="AF59" s="36" t="str" cm="1">
        <f t="array" ref="AF59">IFERROR(INDEX(FORECAST!$D$12:$D$475, MATCH(1, INDEX((ISNUMBER(SEARCH($B59, FORECAST!$A$12:$A$475))) * (INT(FORECAST!$B$12:$B$475) &lt;= AF$57) * (INT(FORECAST!$C$12:$C$475) &gt;= AF$57), 0), 0)), "")</f>
        <v/>
      </c>
      <c r="AG59" s="36" t="str" cm="1">
        <f t="array" ref="AG59">IFERROR(INDEX(FORECAST!$D$12:$D$475, MATCH(1, INDEX((ISNUMBER(SEARCH($B59, FORECAST!$A$12:$A$475))) * (INT(FORECAST!$B$12:$B$475) &lt;= AG$57) * (INT(FORECAST!$C$12:$C$475) &gt;= AG$57), 0), 0)), "")</f>
        <v/>
      </c>
      <c r="AH59" s="9"/>
      <c r="AI59" s="2"/>
      <c r="AJ59" s="45">
        <f t="shared" ref="AJ59:AJ65" si="4">COUNTIF(C59:AG59,"Garantizado")/31</f>
        <v>0.19354838709677419</v>
      </c>
      <c r="AL59" s="22" t="s">
        <v>520</v>
      </c>
    </row>
    <row r="60" spans="1:38" x14ac:dyDescent="0.25">
      <c r="A60" s="71"/>
      <c r="B60" s="25" t="s">
        <v>279</v>
      </c>
      <c r="C60" s="36" t="str" cm="1">
        <f t="array" ref="C60">IFERROR(INDEX(FORECAST!$D$12:$D$475, MATCH(1, INDEX((ISNUMBER(SEARCH($B60, FORECAST!$A$12:$A$475))) * (INT(FORECAST!$B$12:$B$475) &lt;= C$57) * (INT(FORECAST!$C$12:$C$475) &gt;= C$57), 0), 0)), "")</f>
        <v/>
      </c>
      <c r="D60" s="36" t="str" cm="1">
        <f t="array" ref="D60">IFERROR(INDEX(FORECAST!$D$12:$D$475, MATCH(1, INDEX((ISNUMBER(SEARCH($B60, FORECAST!$A$12:$A$475))) * (INT(FORECAST!$B$12:$B$475) &lt;= D$57) * (INT(FORECAST!$C$12:$C$475) &gt;= D$57), 0), 0)), "")</f>
        <v/>
      </c>
      <c r="E60" s="36" t="str" cm="1">
        <f t="array" ref="E60">IFERROR(INDEX(FORECAST!$D$12:$D$475, MATCH(1, INDEX((ISNUMBER(SEARCH($B60, FORECAST!$A$12:$A$475))) * (INT(FORECAST!$B$12:$B$475) &lt;= E$57) * (INT(FORECAST!$C$12:$C$475) &gt;= E$57), 0), 0)), "")</f>
        <v/>
      </c>
      <c r="F60" s="36" t="str" cm="1">
        <f t="array" ref="F60">IFERROR(INDEX(FORECAST!$D$12:$D$475, MATCH(1, INDEX((ISNUMBER(SEARCH($B60, FORECAST!$A$12:$A$475))) * (INT(FORECAST!$B$12:$B$475) &lt;= F$57) * (INT(FORECAST!$C$12:$C$475) &gt;= F$57), 0), 0)), "")</f>
        <v/>
      </c>
      <c r="G60" s="36" t="str" cm="1">
        <f t="array" ref="G60">IFERROR(INDEX(FORECAST!$D$12:$D$475, MATCH(1, INDEX((ISNUMBER(SEARCH($B60, FORECAST!$A$12:$A$475))) * (INT(FORECAST!$B$12:$B$475) &lt;= G$57) * (INT(FORECAST!$C$12:$C$475) &gt;= G$57), 0), 0)), "")</f>
        <v/>
      </c>
      <c r="H60" s="36" t="str" cm="1">
        <f t="array" ref="H60">IFERROR(INDEX(FORECAST!$D$12:$D$475, MATCH(1, INDEX((ISNUMBER(SEARCH($B60, FORECAST!$A$12:$A$475))) * (INT(FORECAST!$B$12:$B$475) &lt;= H$57) * (INT(FORECAST!$C$12:$C$475) &gt;= H$57), 0), 0)), "")</f>
        <v>Tentativo</v>
      </c>
      <c r="I60" s="36" t="str" cm="1">
        <f t="array" ref="I60">IFERROR(INDEX(FORECAST!$D$12:$D$475, MATCH(1, INDEX((ISNUMBER(SEARCH($B60, FORECAST!$A$12:$A$475))) * (INT(FORECAST!$B$12:$B$475) &lt;= I$57) * (INT(FORECAST!$C$12:$C$475) &gt;= I$57), 0), 0)), "")</f>
        <v>Garantizado</v>
      </c>
      <c r="J60" s="36" t="str" cm="1">
        <f t="array" ref="J60">IFERROR(INDEX(FORECAST!$D$12:$D$475, MATCH(1, INDEX((ISNUMBER(SEARCH($B60, FORECAST!$A$12:$A$475))) * (INT(FORECAST!$B$12:$B$475) &lt;= J$57) * (INT(FORECAST!$C$12:$C$475) &gt;= J$57), 0), 0)), "")</f>
        <v/>
      </c>
      <c r="K60" s="36" t="str" cm="1">
        <f t="array" ref="K60">IFERROR(INDEX(FORECAST!$D$12:$D$475, MATCH(1, INDEX((ISNUMBER(SEARCH($B60, FORECAST!$A$12:$A$475))) * (INT(FORECAST!$B$12:$B$475) &lt;= K$57) * (INT(FORECAST!$C$12:$C$475) &gt;= K$57), 0), 0)), "")</f>
        <v/>
      </c>
      <c r="L60" s="36" t="str" cm="1">
        <f t="array" ref="L60">IFERROR(INDEX(FORECAST!$D$12:$D$475, MATCH(1, INDEX((ISNUMBER(SEARCH($B60, FORECAST!$A$12:$A$475))) * (INT(FORECAST!$B$12:$B$475) &lt;= L$57) * (INT(FORECAST!$C$12:$C$475) &gt;= L$57), 0), 0)), "")</f>
        <v/>
      </c>
      <c r="M60" s="36" t="str" cm="1">
        <f t="array" ref="M60">IFERROR(INDEX(FORECAST!$D$12:$D$475, MATCH(1, INDEX((ISNUMBER(SEARCH($B60, FORECAST!$A$12:$A$475))) * (INT(FORECAST!$B$12:$B$475) &lt;= M$57) * (INT(FORECAST!$C$12:$C$475) &gt;= M$57), 0), 0)), "")</f>
        <v/>
      </c>
      <c r="N60" s="36" t="str" cm="1">
        <f t="array" ref="N60">IFERROR(INDEX(FORECAST!$D$12:$D$475, MATCH(1, INDEX((ISNUMBER(SEARCH($B60, FORECAST!$A$12:$A$475))) * (INT(FORECAST!$B$12:$B$475) &lt;= N$57) * (INT(FORECAST!$C$12:$C$475) &gt;= N$57), 0), 0)), "")</f>
        <v/>
      </c>
      <c r="O60" s="36" t="str" cm="1">
        <f t="array" ref="O60">IFERROR(INDEX(FORECAST!$D$12:$D$475, MATCH(1, INDEX((ISNUMBER(SEARCH($B60, FORECAST!$A$12:$A$475))) * (INT(FORECAST!$B$12:$B$475) &lt;= O$57) * (INT(FORECAST!$C$12:$C$475) &gt;= O$57), 0), 0)), "")</f>
        <v>Garantizado</v>
      </c>
      <c r="P60" s="36" t="str" cm="1">
        <f t="array" ref="P60">IFERROR(INDEX(FORECAST!$D$12:$D$475, MATCH(1, INDEX((ISNUMBER(SEARCH($B60, FORECAST!$A$12:$A$475))) * (INT(FORECAST!$B$12:$B$475) &lt;= P$57) * (INT(FORECAST!$C$12:$C$475) &gt;= P$57), 0), 0)), "")</f>
        <v/>
      </c>
      <c r="Q60" s="36" t="str" cm="1">
        <f t="array" ref="Q60">IFERROR(INDEX(FORECAST!$D$12:$D$475, MATCH(1, INDEX((ISNUMBER(SEARCH($B60, FORECAST!$A$12:$A$475))) * (INT(FORECAST!$B$12:$B$475) &lt;= Q$57) * (INT(FORECAST!$C$12:$C$475) &gt;= Q$57), 0), 0)), "")</f>
        <v/>
      </c>
      <c r="R60" s="36" t="str" cm="1">
        <f t="array" ref="R60">IFERROR(INDEX(FORECAST!$D$12:$D$475, MATCH(1, INDEX((ISNUMBER(SEARCH($B60, FORECAST!$A$12:$A$475))) * (INT(FORECAST!$B$12:$B$475) &lt;= R$57) * (INT(FORECAST!$C$12:$C$475) &gt;= R$57), 0), 0)), "")</f>
        <v/>
      </c>
      <c r="S60" s="36" t="str" cm="1">
        <f t="array" ref="S60">IFERROR(INDEX(FORECAST!$D$12:$D$475, MATCH(1, INDEX((ISNUMBER(SEARCH($B60, FORECAST!$A$12:$A$475))) * (INT(FORECAST!$B$12:$B$475) &lt;= S$57) * (INT(FORECAST!$C$12:$C$475) &gt;= S$57), 0), 0)), "")</f>
        <v/>
      </c>
      <c r="T60" s="36" t="str" cm="1">
        <f t="array" ref="T60">IFERROR(INDEX(FORECAST!$D$12:$D$475, MATCH(1, INDEX((ISNUMBER(SEARCH($B60, FORECAST!$A$12:$A$475))) * (INT(FORECAST!$B$12:$B$475) &lt;= T$57) * (INT(FORECAST!$C$12:$C$475) &gt;= T$57), 0), 0)), "")</f>
        <v/>
      </c>
      <c r="U60" s="36" t="str" cm="1">
        <f t="array" ref="U60">IFERROR(INDEX(FORECAST!$D$12:$D$475, MATCH(1, INDEX((ISNUMBER(SEARCH($B60, FORECAST!$A$12:$A$475))) * (INT(FORECAST!$B$12:$B$475) &lt;= U$57) * (INT(FORECAST!$C$12:$C$475) &gt;= U$57), 0), 0)), "")</f>
        <v/>
      </c>
      <c r="V60" s="36" t="str" cm="1">
        <f t="array" ref="V60">IFERROR(INDEX(FORECAST!$D$12:$D$475, MATCH(1, INDEX((ISNUMBER(SEARCH($B60, FORECAST!$A$12:$A$475))) * (INT(FORECAST!$B$12:$B$475) &lt;= V$57) * (INT(FORECAST!$C$12:$C$475) &gt;= V$57), 0), 0)), "")</f>
        <v/>
      </c>
      <c r="W60" s="36" t="str" cm="1">
        <f t="array" ref="W60">IFERROR(INDEX(FORECAST!$D$12:$D$475, MATCH(1, INDEX((ISNUMBER(SEARCH($B60, FORECAST!$A$12:$A$475))) * (INT(FORECAST!$B$12:$B$475) &lt;= W$57) * (INT(FORECAST!$C$12:$C$475) &gt;= W$57), 0), 0)), "")</f>
        <v>Garantizado</v>
      </c>
      <c r="X60" s="36" t="str" cm="1">
        <f t="array" ref="X60">IFERROR(INDEX(FORECAST!$D$12:$D$475, MATCH(1, INDEX((ISNUMBER(SEARCH($B60, FORECAST!$A$12:$A$475))) * (INT(FORECAST!$B$12:$B$475) &lt;= X$57) * (INT(FORECAST!$C$12:$C$475) &gt;= X$57), 0), 0)), "")</f>
        <v>Garantizado</v>
      </c>
      <c r="Y60" s="36" t="str" cm="1">
        <f t="array" ref="Y60">IFERROR(INDEX(FORECAST!$D$12:$D$475, MATCH(1, INDEX((ISNUMBER(SEARCH($B60, FORECAST!$A$12:$A$475))) * (INT(FORECAST!$B$12:$B$475) &lt;= Y$57) * (INT(FORECAST!$C$12:$C$475) &gt;= Y$57), 0), 0)), "")</f>
        <v>Garantizado</v>
      </c>
      <c r="Z60" s="36" t="str" cm="1">
        <f t="array" ref="Z60">IFERROR(INDEX(FORECAST!$D$12:$D$475, MATCH(1, INDEX((ISNUMBER(SEARCH($B60, FORECAST!$A$12:$A$475))) * (INT(FORECAST!$B$12:$B$475) &lt;= Z$57) * (INT(FORECAST!$C$12:$C$475) &gt;= Z$57), 0), 0)), "")</f>
        <v>Garantizado</v>
      </c>
      <c r="AA60" s="36" t="str" cm="1">
        <f t="array" ref="AA60">IFERROR(INDEX(FORECAST!$D$12:$D$475, MATCH(1, INDEX((ISNUMBER(SEARCH($B60, FORECAST!$A$12:$A$475))) * (INT(FORECAST!$B$12:$B$475) &lt;= AA$57) * (INT(FORECAST!$C$12:$C$475) &gt;= AA$57), 0), 0)), "")</f>
        <v>Garantizado</v>
      </c>
      <c r="AB60" s="36" t="str" cm="1">
        <f t="array" ref="AB60">IFERROR(INDEX(FORECAST!$D$12:$D$475, MATCH(1, INDEX((ISNUMBER(SEARCH($B60, FORECAST!$A$12:$A$475))) * (INT(FORECAST!$B$12:$B$475) &lt;= AB$57) * (INT(FORECAST!$C$12:$C$475) &gt;= AB$57), 0), 0)), "")</f>
        <v>Garantizado</v>
      </c>
      <c r="AC60" s="36" t="str" cm="1">
        <f t="array" ref="AC60">IFERROR(INDEX(FORECAST!$D$12:$D$475, MATCH(1, INDEX((ISNUMBER(SEARCH($B60, FORECAST!$A$12:$A$475))) * (INT(FORECAST!$B$12:$B$475) &lt;= AC$57) * (INT(FORECAST!$C$12:$C$475) &gt;= AC$57), 0), 0)), "")</f>
        <v>Garantizado</v>
      </c>
      <c r="AD60" s="36" t="str" cm="1">
        <f t="array" ref="AD60">IFERROR(INDEX(FORECAST!$D$12:$D$475, MATCH(1, INDEX((ISNUMBER(SEARCH($B60, FORECAST!$A$12:$A$475))) * (INT(FORECAST!$B$12:$B$475) &lt;= AD$57) * (INT(FORECAST!$C$12:$C$475) &gt;= AD$57), 0), 0)), "")</f>
        <v>Garantizado</v>
      </c>
      <c r="AE60" s="36" t="str" cm="1">
        <f t="array" ref="AE60">IFERROR(INDEX(FORECAST!$D$12:$D$475, MATCH(1, INDEX((ISNUMBER(SEARCH($B60, FORECAST!$A$12:$A$475))) * (INT(FORECAST!$B$12:$B$475) &lt;= AE$57) * (INT(FORECAST!$C$12:$C$475) &gt;= AE$57), 0), 0)), "")</f>
        <v>Garantizado</v>
      </c>
      <c r="AF60" s="36" t="str" cm="1">
        <f t="array" ref="AF60">IFERROR(INDEX(FORECAST!$D$12:$D$475, MATCH(1, INDEX((ISNUMBER(SEARCH($B60, FORECAST!$A$12:$A$475))) * (INT(FORECAST!$B$12:$B$475) &lt;= AF$57) * (INT(FORECAST!$C$12:$C$475) &gt;= AF$57), 0), 0)), "")</f>
        <v/>
      </c>
      <c r="AG60" s="36" t="str" cm="1">
        <f t="array" ref="AG60">IFERROR(INDEX(FORECAST!$D$12:$D$475, MATCH(1, INDEX((ISNUMBER(SEARCH($B60, FORECAST!$A$12:$A$475))) * (INT(FORECAST!$B$12:$B$475) &lt;= AG$57) * (INT(FORECAST!$C$12:$C$475) &gt;= AG$57), 0), 0)), "")</f>
        <v/>
      </c>
      <c r="AH60" s="2"/>
      <c r="AI60" s="2"/>
      <c r="AJ60" s="45">
        <f t="shared" si="4"/>
        <v>0.35483870967741937</v>
      </c>
      <c r="AL60" s="45">
        <f>COUNTIF('PLANNING 2026'!C58:AG65,"Garantizado")/COUNTA('PLANNING 2026'!C58:AG65)</f>
        <v>0.20967741935483872</v>
      </c>
    </row>
    <row r="61" spans="1:38" x14ac:dyDescent="0.25">
      <c r="A61" s="71"/>
      <c r="B61" s="25" t="s">
        <v>521</v>
      </c>
      <c r="C61" s="36" t="str" cm="1">
        <f t="array" ref="C61">IFERROR(INDEX(FORECAST!$D$12:$D$475, MATCH(1, INDEX((ISNUMBER(SEARCH($B61, FORECAST!$A$12:$A$475))) * (INT(FORECAST!$B$12:$B$475) &lt;= C$57) * (INT(FORECAST!$C$12:$C$475) &gt;= C$57), 0), 0)), "")</f>
        <v/>
      </c>
      <c r="D61" s="36" t="str" cm="1">
        <f t="array" ref="D61">IFERROR(INDEX(FORECAST!$D$12:$D$475, MATCH(1, INDEX((ISNUMBER(SEARCH($B61, FORECAST!$A$12:$A$475))) * (INT(FORECAST!$B$12:$B$475) &lt;= D$57) * (INT(FORECAST!$C$12:$C$475) &gt;= D$57), 0), 0)), "")</f>
        <v/>
      </c>
      <c r="E61" s="36" t="str" cm="1">
        <f t="array" ref="E61">IFERROR(INDEX(FORECAST!$D$12:$D$475, MATCH(1, INDEX((ISNUMBER(SEARCH($B61, FORECAST!$A$12:$A$475))) * (INT(FORECAST!$B$12:$B$475) &lt;= E$57) * (INT(FORECAST!$C$12:$C$475) &gt;= E$57), 0), 0)), "")</f>
        <v/>
      </c>
      <c r="F61" s="36" t="str" cm="1">
        <f t="array" ref="F61">IFERROR(INDEX(FORECAST!$D$12:$D$475, MATCH(1, INDEX((ISNUMBER(SEARCH($B61, FORECAST!$A$12:$A$475))) * (INT(FORECAST!$B$12:$B$475) &lt;= F$57) * (INT(FORECAST!$C$12:$C$475) &gt;= F$57), 0), 0)), "")</f>
        <v/>
      </c>
      <c r="G61" s="36" t="str" cm="1">
        <f t="array" ref="G61">IFERROR(INDEX(FORECAST!$D$12:$D$475, MATCH(1, INDEX((ISNUMBER(SEARCH($B61, FORECAST!$A$12:$A$475))) * (INT(FORECAST!$B$12:$B$475) &lt;= G$57) * (INT(FORECAST!$C$12:$C$475) &gt;= G$57), 0), 0)), "")</f>
        <v/>
      </c>
      <c r="H61" s="36" t="str" cm="1">
        <f t="array" ref="H61">IFERROR(INDEX(FORECAST!$D$12:$D$475, MATCH(1, INDEX((ISNUMBER(SEARCH($B61, FORECAST!$A$12:$A$475))) * (INT(FORECAST!$B$12:$B$475) &lt;= H$57) * (INT(FORECAST!$C$12:$C$475) &gt;= H$57), 0), 0)), "")</f>
        <v>Garantizado</v>
      </c>
      <c r="I61" s="36" t="str" cm="1">
        <f t="array" ref="I61">IFERROR(INDEX(FORECAST!$D$12:$D$475, MATCH(1, INDEX((ISNUMBER(SEARCH($B61, FORECAST!$A$12:$A$475))) * (INT(FORECAST!$B$12:$B$475) &lt;= I$57) * (INT(FORECAST!$C$12:$C$475) &gt;= I$57), 0), 0)), "")</f>
        <v>Garantizado</v>
      </c>
      <c r="J61" s="36" t="str" cm="1">
        <f t="array" ref="J61">IFERROR(INDEX(FORECAST!$D$12:$D$475, MATCH(1, INDEX((ISNUMBER(SEARCH($B61, FORECAST!$A$12:$A$475))) * (INT(FORECAST!$B$12:$B$475) &lt;= J$57) * (INT(FORECAST!$C$12:$C$475) &gt;= J$57), 0), 0)), "")</f>
        <v/>
      </c>
      <c r="K61" s="36" t="str" cm="1">
        <f t="array" ref="K61">IFERROR(INDEX(FORECAST!$D$12:$D$475, MATCH(1, INDEX((ISNUMBER(SEARCH($B61, FORECAST!$A$12:$A$475))) * (INT(FORECAST!$B$12:$B$475) &lt;= K$57) * (INT(FORECAST!$C$12:$C$475) &gt;= K$57), 0), 0)), "")</f>
        <v/>
      </c>
      <c r="L61" s="36" t="str" cm="1">
        <f t="array" ref="L61">IFERROR(INDEX(FORECAST!$D$12:$D$475, MATCH(1, INDEX((ISNUMBER(SEARCH($B61, FORECAST!$A$12:$A$475))) * (INT(FORECAST!$B$12:$B$475) &lt;= L$57) * (INT(FORECAST!$C$12:$C$475) &gt;= L$57), 0), 0)), "")</f>
        <v/>
      </c>
      <c r="M61" s="36" t="str" cm="1">
        <f t="array" ref="M61">IFERROR(INDEX(FORECAST!$D$12:$D$475, MATCH(1, INDEX((ISNUMBER(SEARCH($B61, FORECAST!$A$12:$A$475))) * (INT(FORECAST!$B$12:$B$475) &lt;= M$57) * (INT(FORECAST!$C$12:$C$475) &gt;= M$57), 0), 0)), "")</f>
        <v/>
      </c>
      <c r="N61" s="36" t="str" cm="1">
        <f t="array" ref="N61">IFERROR(INDEX(FORECAST!$D$12:$D$475, MATCH(1, INDEX((ISNUMBER(SEARCH($B61, FORECAST!$A$12:$A$475))) * (INT(FORECAST!$B$12:$B$475) &lt;= N$57) * (INT(FORECAST!$C$12:$C$475) &gt;= N$57), 0), 0)), "")</f>
        <v/>
      </c>
      <c r="O61" s="36" t="str" cm="1">
        <f t="array" ref="O61">IFERROR(INDEX(FORECAST!$D$12:$D$475, MATCH(1, INDEX((ISNUMBER(SEARCH($B61, FORECAST!$A$12:$A$475))) * (INT(FORECAST!$B$12:$B$475) &lt;= O$57) * (INT(FORECAST!$C$12:$C$475) &gt;= O$57), 0), 0)), "")</f>
        <v/>
      </c>
      <c r="P61" s="36" t="str" cm="1">
        <f t="array" ref="P61">IFERROR(INDEX(FORECAST!$D$12:$D$475, MATCH(1, INDEX((ISNUMBER(SEARCH($B61, FORECAST!$A$12:$A$475))) * (INT(FORECAST!$B$12:$B$475) &lt;= P$57) * (INT(FORECAST!$C$12:$C$475) &gt;= P$57), 0), 0)), "")</f>
        <v>Presupuesto</v>
      </c>
      <c r="Q61" s="36" t="str" cm="1">
        <f t="array" ref="Q61">IFERROR(INDEX(FORECAST!$D$12:$D$475, MATCH(1, INDEX((ISNUMBER(SEARCH($B61, FORECAST!$A$12:$A$475))) * (INT(FORECAST!$B$12:$B$475) &lt;= Q$57) * (INT(FORECAST!$C$12:$C$475) &gt;= Q$57), 0), 0)), "")</f>
        <v/>
      </c>
      <c r="R61" s="36" t="str" cm="1">
        <f t="array" ref="R61">IFERROR(INDEX(FORECAST!$D$12:$D$475, MATCH(1, INDEX((ISNUMBER(SEARCH($B61, FORECAST!$A$12:$A$475))) * (INT(FORECAST!$B$12:$B$475) &lt;= R$57) * (INT(FORECAST!$C$12:$C$475) &gt;= R$57), 0), 0)), "")</f>
        <v/>
      </c>
      <c r="S61" s="36" t="str" cm="1">
        <f t="array" ref="S61">IFERROR(INDEX(FORECAST!$D$12:$D$475, MATCH(1, INDEX((ISNUMBER(SEARCH($B61, FORECAST!$A$12:$A$475))) * (INT(FORECAST!$B$12:$B$475) &lt;= S$57) * (INT(FORECAST!$C$12:$C$475) &gt;= S$57), 0), 0)), "")</f>
        <v/>
      </c>
      <c r="T61" s="36" t="str" cm="1">
        <f t="array" ref="T61">IFERROR(INDEX(FORECAST!$D$12:$D$475, MATCH(1, INDEX((ISNUMBER(SEARCH($B61, FORECAST!$A$12:$A$475))) * (INT(FORECAST!$B$12:$B$475) &lt;= T$57) * (INT(FORECAST!$C$12:$C$475) &gt;= T$57), 0), 0)), "")</f>
        <v>Garantizado</v>
      </c>
      <c r="U61" s="36" t="str" cm="1">
        <f t="array" ref="U61">IFERROR(INDEX(FORECAST!$D$12:$D$475, MATCH(1, INDEX((ISNUMBER(SEARCH($B61, FORECAST!$A$12:$A$475))) * (INT(FORECAST!$B$12:$B$475) &lt;= U$57) * (INT(FORECAST!$C$12:$C$475) &gt;= U$57), 0), 0)), "")</f>
        <v/>
      </c>
      <c r="V61" s="36" t="str" cm="1">
        <f t="array" ref="V61">IFERROR(INDEX(FORECAST!$D$12:$D$475, MATCH(1, INDEX((ISNUMBER(SEARCH($B61, FORECAST!$A$12:$A$475))) * (INT(FORECAST!$B$12:$B$475) &lt;= V$57) * (INT(FORECAST!$C$12:$C$475) &gt;= V$57), 0), 0)), "")</f>
        <v/>
      </c>
      <c r="W61" s="36" t="str" cm="1">
        <f t="array" ref="W61">IFERROR(INDEX(FORECAST!$D$12:$D$475, MATCH(1, INDEX((ISNUMBER(SEARCH($B61, FORECAST!$A$12:$A$475))) * (INT(FORECAST!$B$12:$B$475) &lt;= W$57) * (INT(FORECAST!$C$12:$C$475) &gt;= W$57), 0), 0)), "")</f>
        <v/>
      </c>
      <c r="X61" s="36" t="str" cm="1">
        <f t="array" ref="X61">IFERROR(INDEX(FORECAST!$D$12:$D$475, MATCH(1, INDEX((ISNUMBER(SEARCH($B61, FORECAST!$A$12:$A$475))) * (INT(FORECAST!$B$12:$B$475) &lt;= X$57) * (INT(FORECAST!$C$12:$C$475) &gt;= X$57), 0), 0)), "")</f>
        <v>Garantizado</v>
      </c>
      <c r="Y61" s="36" t="str" cm="1">
        <f t="array" ref="Y61">IFERROR(INDEX(FORECAST!$D$12:$D$475, MATCH(1, INDEX((ISNUMBER(SEARCH($B61, FORECAST!$A$12:$A$475))) * (INT(FORECAST!$B$12:$B$475) &lt;= Y$57) * (INT(FORECAST!$C$12:$C$475) &gt;= Y$57), 0), 0)), "")</f>
        <v>Garantizado</v>
      </c>
      <c r="Z61" s="36" t="str" cm="1">
        <f t="array" ref="Z61">IFERROR(INDEX(FORECAST!$D$12:$D$475, MATCH(1, INDEX((ISNUMBER(SEARCH($B61, FORECAST!$A$12:$A$475))) * (INT(FORECAST!$B$12:$B$475) &lt;= Z$57) * (INT(FORECAST!$C$12:$C$475) &gt;= Z$57), 0), 0)), "")</f>
        <v>Garantizado</v>
      </c>
      <c r="AA61" s="36" t="str" cm="1">
        <f t="array" ref="AA61">IFERROR(INDEX(FORECAST!$D$12:$D$475, MATCH(1, INDEX((ISNUMBER(SEARCH($B61, FORECAST!$A$12:$A$475))) * (INT(FORECAST!$B$12:$B$475) &lt;= AA$57) * (INT(FORECAST!$C$12:$C$475) &gt;= AA$57), 0), 0)), "")</f>
        <v/>
      </c>
      <c r="AB61" s="36" t="str" cm="1">
        <f t="array" ref="AB61">IFERROR(INDEX(FORECAST!$D$12:$D$475, MATCH(1, INDEX((ISNUMBER(SEARCH($B61, FORECAST!$A$12:$A$475))) * (INT(FORECAST!$B$12:$B$475) &lt;= AB$57) * (INT(FORECAST!$C$12:$C$475) &gt;= AB$57), 0), 0)), "")</f>
        <v/>
      </c>
      <c r="AC61" s="36" t="str" cm="1">
        <f t="array" ref="AC61">IFERROR(INDEX(FORECAST!$D$12:$D$475, MATCH(1, INDEX((ISNUMBER(SEARCH($B61, FORECAST!$A$12:$A$475))) * (INT(FORECAST!$B$12:$B$475) &lt;= AC$57) * (INT(FORECAST!$C$12:$C$475) &gt;= AC$57), 0), 0)), "")</f>
        <v/>
      </c>
      <c r="AD61" s="36" t="str" cm="1">
        <f t="array" ref="AD61">IFERROR(INDEX(FORECAST!$D$12:$D$475, MATCH(1, INDEX((ISNUMBER(SEARCH($B61, FORECAST!$A$12:$A$475))) * (INT(FORECAST!$B$12:$B$475) &lt;= AD$57) * (INT(FORECAST!$C$12:$C$475) &gt;= AD$57), 0), 0)), "")</f>
        <v/>
      </c>
      <c r="AE61" s="36" t="str" cm="1">
        <f t="array" ref="AE61">IFERROR(INDEX(FORECAST!$D$12:$D$475, MATCH(1, INDEX((ISNUMBER(SEARCH($B61, FORECAST!$A$12:$A$475))) * (INT(FORECAST!$B$12:$B$475) &lt;= AE$57) * (INT(FORECAST!$C$12:$C$475) &gt;= AE$57), 0), 0)), "")</f>
        <v/>
      </c>
      <c r="AF61" s="36" t="str" cm="1">
        <f t="array" ref="AF61">IFERROR(INDEX(FORECAST!$D$12:$D$475, MATCH(1, INDEX((ISNUMBER(SEARCH($B61, FORECAST!$A$12:$A$475))) * (INT(FORECAST!$B$12:$B$475) &lt;= AF$57) * (INT(FORECAST!$C$12:$C$475) &gt;= AF$57), 0), 0)), "")</f>
        <v/>
      </c>
      <c r="AG61" s="36" t="str" cm="1">
        <f t="array" ref="AG61">IFERROR(INDEX(FORECAST!$D$12:$D$475, MATCH(1, INDEX((ISNUMBER(SEARCH($B61, FORECAST!$A$12:$A$475))) * (INT(FORECAST!$B$12:$B$475) &lt;= AG$57) * (INT(FORECAST!$C$12:$C$475) &gt;= AG$57), 0), 0)), "")</f>
        <v/>
      </c>
      <c r="AH61" s="2"/>
      <c r="AI61" s="2"/>
      <c r="AJ61" s="45">
        <f t="shared" si="4"/>
        <v>0.19354838709677419</v>
      </c>
    </row>
    <row r="62" spans="1:38" x14ac:dyDescent="0.25">
      <c r="A62" s="71"/>
      <c r="B62" s="25" t="s">
        <v>522</v>
      </c>
      <c r="C62" s="36" t="str" cm="1">
        <f t="array" ref="C62">IFERROR(INDEX(FORECAST!$D$12:$D$475, MATCH(1, INDEX((ISNUMBER(SEARCH($B62, FORECAST!$A$12:$A$475))) * (INT(FORECAST!$B$12:$B$475) &lt;= C$57) * (INT(FORECAST!$C$12:$C$475) &gt;= C$57), 0), 0)), "")</f>
        <v/>
      </c>
      <c r="D62" s="36" t="str" cm="1">
        <f t="array" ref="D62">IFERROR(INDEX(FORECAST!$D$12:$D$475, MATCH(1, INDEX((ISNUMBER(SEARCH($B62, FORECAST!$A$12:$A$475))) * (INT(FORECAST!$B$12:$B$475) &lt;= D$57) * (INT(FORECAST!$C$12:$C$475) &gt;= D$57), 0), 0)), "")</f>
        <v/>
      </c>
      <c r="E62" s="36" t="str" cm="1">
        <f t="array" ref="E62">IFERROR(INDEX(FORECAST!$D$12:$D$475, MATCH(1, INDEX((ISNUMBER(SEARCH($B62, FORECAST!$A$12:$A$475))) * (INT(FORECAST!$B$12:$B$475) &lt;= E$57) * (INT(FORECAST!$C$12:$C$475) &gt;= E$57), 0), 0)), "")</f>
        <v/>
      </c>
      <c r="F62" s="36" t="str" cm="1">
        <f t="array" ref="F62">IFERROR(INDEX(FORECAST!$D$12:$D$475, MATCH(1, INDEX((ISNUMBER(SEARCH($B62, FORECAST!$A$12:$A$475))) * (INT(FORECAST!$B$12:$B$475) &lt;= F$57) * (INT(FORECAST!$C$12:$C$475) &gt;= F$57), 0), 0)), "")</f>
        <v/>
      </c>
      <c r="G62" s="36" t="str" cm="1">
        <f t="array" ref="G62">IFERROR(INDEX(FORECAST!$D$12:$D$475, MATCH(1, INDEX((ISNUMBER(SEARCH($B62, FORECAST!$A$12:$A$475))) * (INT(FORECAST!$B$12:$B$475) &lt;= G$57) * (INT(FORECAST!$C$12:$C$475) &gt;= G$57), 0), 0)), "")</f>
        <v/>
      </c>
      <c r="H62" s="36" t="str" cm="1">
        <f t="array" ref="H62">IFERROR(INDEX(FORECAST!$D$12:$D$475, MATCH(1, INDEX((ISNUMBER(SEARCH($B62, FORECAST!$A$12:$A$475))) * (INT(FORECAST!$B$12:$B$475) &lt;= H$57) * (INT(FORECAST!$C$12:$C$475) &gt;= H$57), 0), 0)), "")</f>
        <v>Garantizado</v>
      </c>
      <c r="I62" s="36" t="str" cm="1">
        <f t="array" ref="I62">IFERROR(INDEX(FORECAST!$D$12:$D$475, MATCH(1, INDEX((ISNUMBER(SEARCH($B62, FORECAST!$A$12:$A$475))) * (INT(FORECAST!$B$12:$B$475) &lt;= I$57) * (INT(FORECAST!$C$12:$C$475) &gt;= I$57), 0), 0)), "")</f>
        <v/>
      </c>
      <c r="J62" s="36" t="str" cm="1">
        <f t="array" ref="J62">IFERROR(INDEX(FORECAST!$D$12:$D$475, MATCH(1, INDEX((ISNUMBER(SEARCH($B62, FORECAST!$A$12:$A$475))) * (INT(FORECAST!$B$12:$B$475) &lt;= J$57) * (INT(FORECAST!$C$12:$C$475) &gt;= J$57), 0), 0)), "")</f>
        <v>Tentativo</v>
      </c>
      <c r="K62" s="36" t="str" cm="1">
        <f t="array" ref="K62">IFERROR(INDEX(FORECAST!$D$12:$D$475, MATCH(1, INDEX((ISNUMBER(SEARCH($B62, FORECAST!$A$12:$A$475))) * (INT(FORECAST!$B$12:$B$475) &lt;= K$57) * (INT(FORECAST!$C$12:$C$475) &gt;= K$57), 0), 0)), "")</f>
        <v/>
      </c>
      <c r="L62" s="36" t="str" cm="1">
        <f t="array" ref="L62">IFERROR(INDEX(FORECAST!$D$12:$D$475, MATCH(1, INDEX((ISNUMBER(SEARCH($B62, FORECAST!$A$12:$A$475))) * (INT(FORECAST!$B$12:$B$475) &lt;= L$57) * (INT(FORECAST!$C$12:$C$475) &gt;= L$57), 0), 0)), "")</f>
        <v/>
      </c>
      <c r="M62" s="36" t="str" cm="1">
        <f t="array" ref="M62">IFERROR(INDEX(FORECAST!$D$12:$D$475, MATCH(1, INDEX((ISNUMBER(SEARCH($B62, FORECAST!$A$12:$A$475))) * (INT(FORECAST!$B$12:$B$475) &lt;= M$57) * (INT(FORECAST!$C$12:$C$475) &gt;= M$57), 0), 0)), "")</f>
        <v/>
      </c>
      <c r="N62" s="36" t="str" cm="1">
        <f t="array" ref="N62">IFERROR(INDEX(FORECAST!$D$12:$D$475, MATCH(1, INDEX((ISNUMBER(SEARCH($B62, FORECAST!$A$12:$A$475))) * (INT(FORECAST!$B$12:$B$475) &lt;= N$57) * (INT(FORECAST!$C$12:$C$475) &gt;= N$57), 0), 0)), "")</f>
        <v/>
      </c>
      <c r="O62" s="36" t="str" cm="1">
        <f t="array" ref="O62">IFERROR(INDEX(FORECAST!$D$12:$D$475, MATCH(1, INDEX((ISNUMBER(SEARCH($B62, FORECAST!$A$12:$A$475))) * (INT(FORECAST!$B$12:$B$475) &lt;= O$57) * (INT(FORECAST!$C$12:$C$475) &gt;= O$57), 0), 0)), "")</f>
        <v/>
      </c>
      <c r="P62" s="36" t="str" cm="1">
        <f t="array" ref="P62">IFERROR(INDEX(FORECAST!$D$12:$D$475, MATCH(1, INDEX((ISNUMBER(SEARCH($B62, FORECAST!$A$12:$A$475))) * (INT(FORECAST!$B$12:$B$475) &lt;= P$57) * (INT(FORECAST!$C$12:$C$475) &gt;= P$57), 0), 0)), "")</f>
        <v/>
      </c>
      <c r="Q62" s="36" t="str" cm="1">
        <f t="array" ref="Q62">IFERROR(INDEX(FORECAST!$D$12:$D$475, MATCH(1, INDEX((ISNUMBER(SEARCH($B62, FORECAST!$A$12:$A$475))) * (INT(FORECAST!$B$12:$B$475) &lt;= Q$57) * (INT(FORECAST!$C$12:$C$475) &gt;= Q$57), 0), 0)), "")</f>
        <v/>
      </c>
      <c r="R62" s="36" t="str" cm="1">
        <f t="array" ref="R62">IFERROR(INDEX(FORECAST!$D$12:$D$475, MATCH(1, INDEX((ISNUMBER(SEARCH($B62, FORECAST!$A$12:$A$475))) * (INT(FORECAST!$B$12:$B$475) &lt;= R$57) * (INT(FORECAST!$C$12:$C$475) &gt;= R$57), 0), 0)), "")</f>
        <v/>
      </c>
      <c r="S62" s="36" t="str" cm="1">
        <f t="array" ref="S62">IFERROR(INDEX(FORECAST!$D$12:$D$475, MATCH(1, INDEX((ISNUMBER(SEARCH($B62, FORECAST!$A$12:$A$475))) * (INT(FORECAST!$B$12:$B$475) &lt;= S$57) * (INT(FORECAST!$C$12:$C$475) &gt;= S$57), 0), 0)), "")</f>
        <v/>
      </c>
      <c r="T62" s="36" t="str" cm="1">
        <f t="array" ref="T62">IFERROR(INDEX(FORECAST!$D$12:$D$475, MATCH(1, INDEX((ISNUMBER(SEARCH($B62, FORECAST!$A$12:$A$475))) * (INT(FORECAST!$B$12:$B$475) &lt;= T$57) * (INT(FORECAST!$C$12:$C$475) &gt;= T$57), 0), 0)), "")</f>
        <v/>
      </c>
      <c r="U62" s="36" t="str" cm="1">
        <f t="array" ref="U62">IFERROR(INDEX(FORECAST!$D$12:$D$475, MATCH(1, INDEX((ISNUMBER(SEARCH($B62, FORECAST!$A$12:$A$475))) * (INT(FORECAST!$B$12:$B$475) &lt;= U$57) * (INT(FORECAST!$C$12:$C$475) &gt;= U$57), 0), 0)), "")</f>
        <v/>
      </c>
      <c r="V62" s="36" t="str" cm="1">
        <f t="array" ref="V62">IFERROR(INDEX(FORECAST!$D$12:$D$475, MATCH(1, INDEX((ISNUMBER(SEARCH($B62, FORECAST!$A$12:$A$475))) * (INT(FORECAST!$B$12:$B$475) &lt;= V$57) * (INT(FORECAST!$C$12:$C$475) &gt;= V$57), 0), 0)), "")</f>
        <v>Tentativo</v>
      </c>
      <c r="W62" s="36" t="str" cm="1">
        <f t="array" ref="W62">IFERROR(INDEX(FORECAST!$D$12:$D$475, MATCH(1, INDEX((ISNUMBER(SEARCH($B62, FORECAST!$A$12:$A$475))) * (INT(FORECAST!$B$12:$B$475) &lt;= W$57) * (INT(FORECAST!$C$12:$C$475) &gt;= W$57), 0), 0)), "")</f>
        <v/>
      </c>
      <c r="X62" s="36" t="str" cm="1">
        <f t="array" ref="X62">IFERROR(INDEX(FORECAST!$D$12:$D$475, MATCH(1, INDEX((ISNUMBER(SEARCH($B62, FORECAST!$A$12:$A$475))) * (INT(FORECAST!$B$12:$B$475) &lt;= X$57) * (INT(FORECAST!$C$12:$C$475) &gt;= X$57), 0), 0)), "")</f>
        <v>Garantizado</v>
      </c>
      <c r="Y62" s="36" t="str" cm="1">
        <f t="array" ref="Y62">IFERROR(INDEX(FORECAST!$D$12:$D$475, MATCH(1, INDEX((ISNUMBER(SEARCH($B62, FORECAST!$A$12:$A$475))) * (INT(FORECAST!$B$12:$B$475) &lt;= Y$57) * (INT(FORECAST!$C$12:$C$475) &gt;= Y$57), 0), 0)), "")</f>
        <v>Garantizado</v>
      </c>
      <c r="Z62" s="36" t="str" cm="1">
        <f t="array" ref="Z62">IFERROR(INDEX(FORECAST!$D$12:$D$475, MATCH(1, INDEX((ISNUMBER(SEARCH($B62, FORECAST!$A$12:$A$475))) * (INT(FORECAST!$B$12:$B$475) &lt;= Z$57) * (INT(FORECAST!$C$12:$C$475) &gt;= Z$57), 0), 0)), "")</f>
        <v>Garantizado</v>
      </c>
      <c r="AA62" s="36" t="str" cm="1">
        <f t="array" ref="AA62">IFERROR(INDEX(FORECAST!$D$12:$D$475, MATCH(1, INDEX((ISNUMBER(SEARCH($B62, FORECAST!$A$12:$A$475))) * (INT(FORECAST!$B$12:$B$475) &lt;= AA$57) * (INT(FORECAST!$C$12:$C$475) &gt;= AA$57), 0), 0)), "")</f>
        <v/>
      </c>
      <c r="AB62" s="36" t="str" cm="1">
        <f t="array" ref="AB62">IFERROR(INDEX(FORECAST!$D$12:$D$475, MATCH(1, INDEX((ISNUMBER(SEARCH($B62, FORECAST!$A$12:$A$475))) * (INT(FORECAST!$B$12:$B$475) &lt;= AB$57) * (INT(FORECAST!$C$12:$C$475) &gt;= AB$57), 0), 0)), "")</f>
        <v/>
      </c>
      <c r="AC62" s="36" t="str" cm="1">
        <f t="array" ref="AC62">IFERROR(INDEX(FORECAST!$D$12:$D$475, MATCH(1, INDEX((ISNUMBER(SEARCH($B62, FORECAST!$A$12:$A$475))) * (INT(FORECAST!$B$12:$B$475) &lt;= AC$57) * (INT(FORECAST!$C$12:$C$475) &gt;= AC$57), 0), 0)), "")</f>
        <v/>
      </c>
      <c r="AD62" s="36" t="str" cm="1">
        <f t="array" ref="AD62">IFERROR(INDEX(FORECAST!$D$12:$D$475, MATCH(1, INDEX((ISNUMBER(SEARCH($B62, FORECAST!$A$12:$A$475))) * (INT(FORECAST!$B$12:$B$475) &lt;= AD$57) * (INT(FORECAST!$C$12:$C$475) &gt;= AD$57), 0), 0)), "")</f>
        <v/>
      </c>
      <c r="AE62" s="36" t="str" cm="1">
        <f t="array" ref="AE62">IFERROR(INDEX(FORECAST!$D$12:$D$475, MATCH(1, INDEX((ISNUMBER(SEARCH($B62, FORECAST!$A$12:$A$475))) * (INT(FORECAST!$B$12:$B$475) &lt;= AE$57) * (INT(FORECAST!$C$12:$C$475) &gt;= AE$57), 0), 0)), "")</f>
        <v/>
      </c>
      <c r="AF62" s="36" t="str" cm="1">
        <f t="array" ref="AF62">IFERROR(INDEX(FORECAST!$D$12:$D$475, MATCH(1, INDEX((ISNUMBER(SEARCH($B62, FORECAST!$A$12:$A$475))) * (INT(FORECAST!$B$12:$B$475) &lt;= AF$57) * (INT(FORECAST!$C$12:$C$475) &gt;= AF$57), 0), 0)), "")</f>
        <v/>
      </c>
      <c r="AG62" s="36" t="str" cm="1">
        <f t="array" ref="AG62">IFERROR(INDEX(FORECAST!$D$12:$D$475, MATCH(1, INDEX((ISNUMBER(SEARCH($B62, FORECAST!$A$12:$A$475))) * (INT(FORECAST!$B$12:$B$475) &lt;= AG$57) * (INT(FORECAST!$C$12:$C$475) &gt;= AG$57), 0), 0)), "")</f>
        <v/>
      </c>
      <c r="AH62" s="2"/>
      <c r="AI62" s="2"/>
      <c r="AJ62" s="45">
        <f t="shared" si="4"/>
        <v>0.12903225806451613</v>
      </c>
    </row>
    <row r="63" spans="1:38" x14ac:dyDescent="0.25">
      <c r="A63" s="71"/>
      <c r="B63" s="25" t="s">
        <v>523</v>
      </c>
      <c r="C63" s="36" t="str" cm="1">
        <f t="array" ref="C63">IFERROR(INDEX(FORECAST!$D$12:$D$475, MATCH(1, INDEX((ISNUMBER(SEARCH($B63, FORECAST!$A$12:$A$475))) * (INT(FORECAST!$B$12:$B$475) &lt;= C$57) * (INT(FORECAST!$C$12:$C$475) &gt;= C$57), 0), 0)), "")</f>
        <v/>
      </c>
      <c r="D63" s="36" t="str" cm="1">
        <f t="array" ref="D63">IFERROR(INDEX(FORECAST!$D$12:$D$475, MATCH(1, INDEX((ISNUMBER(SEARCH($B63, FORECAST!$A$12:$A$475))) * (INT(FORECAST!$B$12:$B$475) &lt;= D$57) * (INT(FORECAST!$C$12:$C$475) &gt;= D$57), 0), 0)), "")</f>
        <v/>
      </c>
      <c r="E63" s="36" t="str" cm="1">
        <f t="array" ref="E63">IFERROR(INDEX(FORECAST!$D$12:$D$475, MATCH(1, INDEX((ISNUMBER(SEARCH($B63, FORECAST!$A$12:$A$475))) * (INT(FORECAST!$B$12:$B$475) &lt;= E$57) * (INT(FORECAST!$C$12:$C$475) &gt;= E$57), 0), 0)), "")</f>
        <v/>
      </c>
      <c r="F63" s="36" t="str" cm="1">
        <f t="array" ref="F63">IFERROR(INDEX(FORECAST!$D$12:$D$475, MATCH(1, INDEX((ISNUMBER(SEARCH($B63, FORECAST!$A$12:$A$475))) * (INT(FORECAST!$B$12:$B$475) &lt;= F$57) * (INT(FORECAST!$C$12:$C$475) &gt;= F$57), 0), 0)), "")</f>
        <v/>
      </c>
      <c r="G63" s="36" t="str" cm="1">
        <f t="array" ref="G63">IFERROR(INDEX(FORECAST!$D$12:$D$475, MATCH(1, INDEX((ISNUMBER(SEARCH($B63, FORECAST!$A$12:$A$475))) * (INT(FORECAST!$B$12:$B$475) &lt;= G$57) * (INT(FORECAST!$C$12:$C$475) &gt;= G$57), 0), 0)), "")</f>
        <v/>
      </c>
      <c r="H63" s="36" t="str" cm="1">
        <f t="array" ref="H63">IFERROR(INDEX(FORECAST!$D$12:$D$475, MATCH(1, INDEX((ISNUMBER(SEARCH($B63, FORECAST!$A$12:$A$475))) * (INT(FORECAST!$B$12:$B$475) &lt;= H$57) * (INT(FORECAST!$C$12:$C$475) &gt;= H$57), 0), 0)), "")</f>
        <v>Garantizado</v>
      </c>
      <c r="I63" s="36" t="str" cm="1">
        <f t="array" ref="I63">IFERROR(INDEX(FORECAST!$D$12:$D$475, MATCH(1, INDEX((ISNUMBER(SEARCH($B63, FORECAST!$A$12:$A$475))) * (INT(FORECAST!$B$12:$B$475) &lt;= I$57) * (INT(FORECAST!$C$12:$C$475) &gt;= I$57), 0), 0)), "")</f>
        <v/>
      </c>
      <c r="J63" s="36" t="str" cm="1">
        <f t="array" ref="J63">IFERROR(INDEX(FORECAST!$D$12:$D$475, MATCH(1, INDEX((ISNUMBER(SEARCH($B63, FORECAST!$A$12:$A$475))) * (INT(FORECAST!$B$12:$B$475) &lt;= J$57) * (INT(FORECAST!$C$12:$C$475) &gt;= J$57), 0), 0)), "")</f>
        <v/>
      </c>
      <c r="K63" s="36" t="str" cm="1">
        <f t="array" ref="K63">IFERROR(INDEX(FORECAST!$D$12:$D$475, MATCH(1, INDEX((ISNUMBER(SEARCH($B63, FORECAST!$A$12:$A$475))) * (INT(FORECAST!$B$12:$B$475) &lt;= K$57) * (INT(FORECAST!$C$12:$C$475) &gt;= K$57), 0), 0)), "")</f>
        <v/>
      </c>
      <c r="L63" s="36" t="str" cm="1">
        <f t="array" ref="L63">IFERROR(INDEX(FORECAST!$D$12:$D$475, MATCH(1, INDEX((ISNUMBER(SEARCH($B63, FORECAST!$A$12:$A$475))) * (INT(FORECAST!$B$12:$B$475) &lt;= L$57) * (INT(FORECAST!$C$12:$C$475) &gt;= L$57), 0), 0)), "")</f>
        <v/>
      </c>
      <c r="M63" s="36" t="str" cm="1">
        <f t="array" ref="M63">IFERROR(INDEX(FORECAST!$D$12:$D$475, MATCH(1, INDEX((ISNUMBER(SEARCH($B63, FORECAST!$A$12:$A$475))) * (INT(FORECAST!$B$12:$B$475) &lt;= M$57) * (INT(FORECAST!$C$12:$C$475) &gt;= M$57), 0), 0)), "")</f>
        <v/>
      </c>
      <c r="N63" s="36" t="str" cm="1">
        <f t="array" ref="N63">IFERROR(INDEX(FORECAST!$D$12:$D$475, MATCH(1, INDEX((ISNUMBER(SEARCH($B63, FORECAST!$A$12:$A$475))) * (INT(FORECAST!$B$12:$B$475) &lt;= N$57) * (INT(FORECAST!$C$12:$C$475) &gt;= N$57), 0), 0)), "")</f>
        <v>Presupuesto</v>
      </c>
      <c r="O63" s="36" t="str" cm="1">
        <f t="array" ref="O63">IFERROR(INDEX(FORECAST!$D$12:$D$475, MATCH(1, INDEX((ISNUMBER(SEARCH($B63, FORECAST!$A$12:$A$475))) * (INT(FORECAST!$B$12:$B$475) &lt;= O$57) * (INT(FORECAST!$C$12:$C$475) &gt;= O$57), 0), 0)), "")</f>
        <v/>
      </c>
      <c r="P63" s="36" t="str" cm="1">
        <f t="array" ref="P63">IFERROR(INDEX(FORECAST!$D$12:$D$475, MATCH(1, INDEX((ISNUMBER(SEARCH($B63, FORECAST!$A$12:$A$475))) * (INT(FORECAST!$B$12:$B$475) &lt;= P$57) * (INT(FORECAST!$C$12:$C$475) &gt;= P$57), 0), 0)), "")</f>
        <v/>
      </c>
      <c r="Q63" s="36" t="str" cm="1">
        <f t="array" ref="Q63">IFERROR(INDEX(FORECAST!$D$12:$D$475, MATCH(1, INDEX((ISNUMBER(SEARCH($B63, FORECAST!$A$12:$A$475))) * (INT(FORECAST!$B$12:$B$475) &lt;= Q$57) * (INT(FORECAST!$C$12:$C$475) &gt;= Q$57), 0), 0)), "")</f>
        <v/>
      </c>
      <c r="R63" s="36" t="str" cm="1">
        <f t="array" ref="R63">IFERROR(INDEX(FORECAST!$D$12:$D$475, MATCH(1, INDEX((ISNUMBER(SEARCH($B63, FORECAST!$A$12:$A$475))) * (INT(FORECAST!$B$12:$B$475) &lt;= R$57) * (INT(FORECAST!$C$12:$C$475) &gt;= R$57), 0), 0)), "")</f>
        <v>Presupuesto</v>
      </c>
      <c r="S63" s="36" t="str" cm="1">
        <f t="array" ref="S63">IFERROR(INDEX(FORECAST!$D$12:$D$475, MATCH(1, INDEX((ISNUMBER(SEARCH($B63, FORECAST!$A$12:$A$475))) * (INT(FORECAST!$B$12:$B$475) &lt;= S$57) * (INT(FORECAST!$C$12:$C$475) &gt;= S$57), 0), 0)), "")</f>
        <v/>
      </c>
      <c r="T63" s="36" t="str" cm="1">
        <f t="array" ref="T63">IFERROR(INDEX(FORECAST!$D$12:$D$475, MATCH(1, INDEX((ISNUMBER(SEARCH($B63, FORECAST!$A$12:$A$475))) * (INT(FORECAST!$B$12:$B$475) &lt;= T$57) * (INT(FORECAST!$C$12:$C$475) &gt;= T$57), 0), 0)), "")</f>
        <v/>
      </c>
      <c r="U63" s="36" t="str" cm="1">
        <f t="array" ref="U63">IFERROR(INDEX(FORECAST!$D$12:$D$475, MATCH(1, INDEX((ISNUMBER(SEARCH($B63, FORECAST!$A$12:$A$475))) * (INT(FORECAST!$B$12:$B$475) &lt;= U$57) * (INT(FORECAST!$C$12:$C$475) &gt;= U$57), 0), 0)), "")</f>
        <v/>
      </c>
      <c r="V63" s="36" t="str" cm="1">
        <f t="array" ref="V63">IFERROR(INDEX(FORECAST!$D$12:$D$475, MATCH(1, INDEX((ISNUMBER(SEARCH($B63, FORECAST!$A$12:$A$475))) * (INT(FORECAST!$B$12:$B$475) &lt;= V$57) * (INT(FORECAST!$C$12:$C$475) &gt;= V$57), 0), 0)), "")</f>
        <v/>
      </c>
      <c r="W63" s="36" t="str" cm="1">
        <f t="array" ref="W63">IFERROR(INDEX(FORECAST!$D$12:$D$475, MATCH(1, INDEX((ISNUMBER(SEARCH($B63, FORECAST!$A$12:$A$475))) * (INT(FORECAST!$B$12:$B$475) &lt;= W$57) * (INT(FORECAST!$C$12:$C$475) &gt;= W$57), 0), 0)), "")</f>
        <v/>
      </c>
      <c r="X63" s="36" t="str" cm="1">
        <f t="array" ref="X63">IFERROR(INDEX(FORECAST!$D$12:$D$475, MATCH(1, INDEX((ISNUMBER(SEARCH($B63, FORECAST!$A$12:$A$475))) * (INT(FORECAST!$B$12:$B$475) &lt;= X$57) * (INT(FORECAST!$C$12:$C$475) &gt;= X$57), 0), 0)), "")</f>
        <v>Tentativo</v>
      </c>
      <c r="Y63" s="36" t="str" cm="1">
        <f t="array" ref="Y63">IFERROR(INDEX(FORECAST!$D$12:$D$475, MATCH(1, INDEX((ISNUMBER(SEARCH($B63, FORECAST!$A$12:$A$475))) * (INT(FORECAST!$B$12:$B$475) &lt;= Y$57) * (INT(FORECAST!$C$12:$C$475) &gt;= Y$57), 0), 0)), "")</f>
        <v/>
      </c>
      <c r="Z63" s="36" t="str" cm="1">
        <f t="array" ref="Z63">IFERROR(INDEX(FORECAST!$D$12:$D$475, MATCH(1, INDEX((ISNUMBER(SEARCH($B63, FORECAST!$A$12:$A$475))) * (INT(FORECAST!$B$12:$B$475) &lt;= Z$57) * (INT(FORECAST!$C$12:$C$475) &gt;= Z$57), 0), 0)), "")</f>
        <v/>
      </c>
      <c r="AA63" s="36" t="str" cm="1">
        <f t="array" ref="AA63">IFERROR(INDEX(FORECAST!$D$12:$D$475, MATCH(1, INDEX((ISNUMBER(SEARCH($B63, FORECAST!$A$12:$A$475))) * (INT(FORECAST!$B$12:$B$475) &lt;= AA$57) * (INT(FORECAST!$C$12:$C$475) &gt;= AA$57), 0), 0)), "")</f>
        <v/>
      </c>
      <c r="AB63" s="36" t="str" cm="1">
        <f t="array" ref="AB63">IFERROR(INDEX(FORECAST!$D$12:$D$475, MATCH(1, INDEX((ISNUMBER(SEARCH($B63, FORECAST!$A$12:$A$475))) * (INT(FORECAST!$B$12:$B$475) &lt;= AB$57) * (INT(FORECAST!$C$12:$C$475) &gt;= AB$57), 0), 0)), "")</f>
        <v/>
      </c>
      <c r="AC63" s="36" t="str" cm="1">
        <f t="array" ref="AC63">IFERROR(INDEX(FORECAST!$D$12:$D$475, MATCH(1, INDEX((ISNUMBER(SEARCH($B63, FORECAST!$A$12:$A$475))) * (INT(FORECAST!$B$12:$B$475) &lt;= AC$57) * (INT(FORECAST!$C$12:$C$475) &gt;= AC$57), 0), 0)), "")</f>
        <v/>
      </c>
      <c r="AD63" s="36" t="str" cm="1">
        <f t="array" ref="AD63">IFERROR(INDEX(FORECAST!$D$12:$D$475, MATCH(1, INDEX((ISNUMBER(SEARCH($B63, FORECAST!$A$12:$A$475))) * (INT(FORECAST!$B$12:$B$475) &lt;= AD$57) * (INT(FORECAST!$C$12:$C$475) &gt;= AD$57), 0), 0)), "")</f>
        <v/>
      </c>
      <c r="AE63" s="36" t="str" cm="1">
        <f t="array" ref="AE63">IFERROR(INDEX(FORECAST!$D$12:$D$475, MATCH(1, INDEX((ISNUMBER(SEARCH($B63, FORECAST!$A$12:$A$475))) * (INT(FORECAST!$B$12:$B$475) &lt;= AE$57) * (INT(FORECAST!$C$12:$C$475) &gt;= AE$57), 0), 0)), "")</f>
        <v/>
      </c>
      <c r="AF63" s="36" t="str" cm="1">
        <f t="array" ref="AF63">IFERROR(INDEX(FORECAST!$D$12:$D$475, MATCH(1, INDEX((ISNUMBER(SEARCH($B63, FORECAST!$A$12:$A$475))) * (INT(FORECAST!$B$12:$B$475) &lt;= AF$57) * (INT(FORECAST!$C$12:$C$475) &gt;= AF$57), 0), 0)), "")</f>
        <v/>
      </c>
      <c r="AG63" s="36" t="str" cm="1">
        <f t="array" ref="AG63">IFERROR(INDEX(FORECAST!$D$12:$D$475, MATCH(1, INDEX((ISNUMBER(SEARCH($B63, FORECAST!$A$12:$A$475))) * (INT(FORECAST!$B$12:$B$475) &lt;= AG$57) * (INT(FORECAST!$C$12:$C$475) &gt;= AG$57), 0), 0)), "")</f>
        <v/>
      </c>
      <c r="AH63" s="2"/>
      <c r="AI63" s="2"/>
      <c r="AJ63" s="45">
        <f t="shared" si="4"/>
        <v>3.2258064516129031E-2</v>
      </c>
    </row>
    <row r="64" spans="1:38" x14ac:dyDescent="0.25">
      <c r="A64" s="71"/>
      <c r="B64" s="25" t="s">
        <v>9</v>
      </c>
      <c r="C64" s="36" t="str" cm="1">
        <f t="array" ref="C64">IFERROR(INDEX(FORECAST!$D$12:$D$475, MATCH(1, INDEX((ISNUMBER(SEARCH($B64, FORECAST!$A$12:$A$475))) * (INT(FORECAST!$B$12:$B$475) &lt;= C$57) * (INT(FORECAST!$C$12:$C$475) &gt;= C$57), 0), 0)), "")</f>
        <v/>
      </c>
      <c r="D64" s="36" t="str" cm="1">
        <f t="array" ref="D64">IFERROR(INDEX(FORECAST!$D$12:$D$475, MATCH(1, INDEX((ISNUMBER(SEARCH($B64, FORECAST!$A$12:$A$475))) * (INT(FORECAST!$B$12:$B$475) &lt;= D$57) * (INT(FORECAST!$C$12:$C$475) &gt;= D$57), 0), 0)), "")</f>
        <v/>
      </c>
      <c r="E64" s="36" t="str" cm="1">
        <f t="array" ref="E64">IFERROR(INDEX(FORECAST!$D$12:$D$475, MATCH(1, INDEX((ISNUMBER(SEARCH($B64, FORECAST!$A$12:$A$475))) * (INT(FORECAST!$B$12:$B$475) &lt;= E$57) * (INT(FORECAST!$C$12:$C$475) &gt;= E$57), 0), 0)), "")</f>
        <v/>
      </c>
      <c r="F64" s="36" t="str" cm="1">
        <f t="array" ref="F64">IFERROR(INDEX(FORECAST!$D$12:$D$475, MATCH(1, INDEX((ISNUMBER(SEARCH($B64, FORECAST!$A$12:$A$475))) * (INT(FORECAST!$B$12:$B$475) &lt;= F$57) * (INT(FORECAST!$C$12:$C$475) &gt;= F$57), 0), 0)), "")</f>
        <v/>
      </c>
      <c r="G64" s="36" t="str" cm="1">
        <f t="array" ref="G64">IFERROR(INDEX(FORECAST!$D$12:$D$475, MATCH(1, INDEX((ISNUMBER(SEARCH($B64, FORECAST!$A$12:$A$475))) * (INT(FORECAST!$B$12:$B$475) &lt;= G$57) * (INT(FORECAST!$C$12:$C$475) &gt;= G$57), 0), 0)), "")</f>
        <v/>
      </c>
      <c r="H64" s="36" t="str" cm="1">
        <f t="array" ref="H64">IFERROR(INDEX(FORECAST!$D$12:$D$475, MATCH(1, INDEX((ISNUMBER(SEARCH($B64, FORECAST!$A$12:$A$475))) * (INT(FORECAST!$B$12:$B$475) &lt;= H$57) * (INT(FORECAST!$C$12:$C$475) &gt;= H$57), 0), 0)), "")</f>
        <v>Presupuesto</v>
      </c>
      <c r="I64" s="36" t="str" cm="1">
        <f t="array" ref="I64">IFERROR(INDEX(FORECAST!$D$12:$D$475, MATCH(1, INDEX((ISNUMBER(SEARCH($B64, FORECAST!$A$12:$A$475))) * (INT(FORECAST!$B$12:$B$475) &lt;= I$57) * (INT(FORECAST!$C$12:$C$475) &gt;= I$57), 0), 0)), "")</f>
        <v>Garantizado</v>
      </c>
      <c r="J64" s="36" t="str" cm="1">
        <f t="array" ref="J64">IFERROR(INDEX(FORECAST!$D$12:$D$475, MATCH(1, INDEX((ISNUMBER(SEARCH($B64, FORECAST!$A$12:$A$475))) * (INT(FORECAST!$B$12:$B$475) &lt;= J$57) * (INT(FORECAST!$C$12:$C$475) &gt;= J$57), 0), 0)), "")</f>
        <v/>
      </c>
      <c r="K64" s="36" t="str" cm="1">
        <f t="array" ref="K64">IFERROR(INDEX(FORECAST!$D$12:$D$475, MATCH(1, INDEX((ISNUMBER(SEARCH($B64, FORECAST!$A$12:$A$475))) * (INT(FORECAST!$B$12:$B$475) &lt;= K$57) * (INT(FORECAST!$C$12:$C$475) &gt;= K$57), 0), 0)), "")</f>
        <v/>
      </c>
      <c r="L64" s="36" t="str" cm="1">
        <f t="array" ref="L64">IFERROR(INDEX(FORECAST!$D$12:$D$475, MATCH(1, INDEX((ISNUMBER(SEARCH($B64, FORECAST!$A$12:$A$475))) * (INT(FORECAST!$B$12:$B$475) &lt;= L$57) * (INT(FORECAST!$C$12:$C$475) &gt;= L$57), 0), 0)), "")</f>
        <v/>
      </c>
      <c r="M64" s="36" t="str" cm="1">
        <f t="array" ref="M64">IFERROR(INDEX(FORECAST!$D$12:$D$475, MATCH(1, INDEX((ISNUMBER(SEARCH($B64, FORECAST!$A$12:$A$475))) * (INT(FORECAST!$B$12:$B$475) &lt;= M$57) * (INT(FORECAST!$C$12:$C$475) &gt;= M$57), 0), 0)), "")</f>
        <v>Garantizado</v>
      </c>
      <c r="N64" s="36" t="str" cm="1">
        <f t="array" ref="N64">IFERROR(INDEX(FORECAST!$D$12:$D$475, MATCH(1, INDEX((ISNUMBER(SEARCH($B64, FORECAST!$A$12:$A$475))) * (INT(FORECAST!$B$12:$B$475) &lt;= N$57) * (INT(FORECAST!$C$12:$C$475) &gt;= N$57), 0), 0)), "")</f>
        <v>Tentativo</v>
      </c>
      <c r="O64" s="36" t="str" cm="1">
        <f t="array" ref="O64">IFERROR(INDEX(FORECAST!$D$12:$D$475, MATCH(1, INDEX((ISNUMBER(SEARCH($B64, FORECAST!$A$12:$A$475))) * (INT(FORECAST!$B$12:$B$475) &lt;= O$57) * (INT(FORECAST!$C$12:$C$475) &gt;= O$57), 0), 0)), "")</f>
        <v>Tentativo</v>
      </c>
      <c r="P64" s="36" t="str" cm="1">
        <f t="array" ref="P64">IFERROR(INDEX(FORECAST!$D$12:$D$475, MATCH(1, INDEX((ISNUMBER(SEARCH($B64, FORECAST!$A$12:$A$475))) * (INT(FORECAST!$B$12:$B$475) &lt;= P$57) * (INT(FORECAST!$C$12:$C$475) &gt;= P$57), 0), 0)), "")</f>
        <v/>
      </c>
      <c r="Q64" s="36" t="str" cm="1">
        <f t="array" ref="Q64">IFERROR(INDEX(FORECAST!$D$12:$D$475, MATCH(1, INDEX((ISNUMBER(SEARCH($B64, FORECAST!$A$12:$A$475))) * (INT(FORECAST!$B$12:$B$475) &lt;= Q$57) * (INT(FORECAST!$C$12:$C$475) &gt;= Q$57), 0), 0)), "")</f>
        <v/>
      </c>
      <c r="R64" s="36" t="str" cm="1">
        <f t="array" ref="R64">IFERROR(INDEX(FORECAST!$D$12:$D$475, MATCH(1, INDEX((ISNUMBER(SEARCH($B64, FORECAST!$A$12:$A$475))) * (INT(FORECAST!$B$12:$B$475) &lt;= R$57) * (INT(FORECAST!$C$12:$C$475) &gt;= R$57), 0), 0)), "")</f>
        <v>Presupuesto</v>
      </c>
      <c r="S64" s="36" t="str" cm="1">
        <f t="array" ref="S64">IFERROR(INDEX(FORECAST!$D$12:$D$475, MATCH(1, INDEX((ISNUMBER(SEARCH($B64, FORECAST!$A$12:$A$475))) * (INT(FORECAST!$B$12:$B$475) &lt;= S$57) * (INT(FORECAST!$C$12:$C$475) &gt;= S$57), 0), 0)), "")</f>
        <v/>
      </c>
      <c r="T64" s="36" t="str" cm="1">
        <f t="array" ref="T64">IFERROR(INDEX(FORECAST!$D$12:$D$475, MATCH(1, INDEX((ISNUMBER(SEARCH($B64, FORECAST!$A$12:$A$475))) * (INT(FORECAST!$B$12:$B$475) &lt;= T$57) * (INT(FORECAST!$C$12:$C$475) &gt;= T$57), 0), 0)), "")</f>
        <v>Presupuesto</v>
      </c>
      <c r="U64" s="36" t="str" cm="1">
        <f t="array" ref="U64">IFERROR(INDEX(FORECAST!$D$12:$D$475, MATCH(1, INDEX((ISNUMBER(SEARCH($B64, FORECAST!$A$12:$A$475))) * (INT(FORECAST!$B$12:$B$475) &lt;= U$57) * (INT(FORECAST!$C$12:$C$475) &gt;= U$57), 0), 0)), "")</f>
        <v/>
      </c>
      <c r="V64" s="36" t="str" cm="1">
        <f t="array" ref="V64">IFERROR(INDEX(FORECAST!$D$12:$D$475, MATCH(1, INDEX((ISNUMBER(SEARCH($B64, FORECAST!$A$12:$A$475))) * (INT(FORECAST!$B$12:$B$475) &lt;= V$57) * (INT(FORECAST!$C$12:$C$475) &gt;= V$57), 0), 0)), "")</f>
        <v>Tentativo</v>
      </c>
      <c r="W64" s="36" t="str" cm="1">
        <f t="array" ref="W64">IFERROR(INDEX(FORECAST!$D$12:$D$475, MATCH(1, INDEX((ISNUMBER(SEARCH($B64, FORECAST!$A$12:$A$475))) * (INT(FORECAST!$B$12:$B$475) &lt;= W$57) * (INT(FORECAST!$C$12:$C$475) &gt;= W$57), 0), 0)), "")</f>
        <v/>
      </c>
      <c r="X64" s="36" t="str" cm="1">
        <f t="array" ref="X64">IFERROR(INDEX(FORECAST!$D$12:$D$475, MATCH(1, INDEX((ISNUMBER(SEARCH($B64, FORECAST!$A$12:$A$475))) * (INT(FORECAST!$B$12:$B$475) &lt;= X$57) * (INT(FORECAST!$C$12:$C$475) &gt;= X$57), 0), 0)), "")</f>
        <v>Garantizado</v>
      </c>
      <c r="Y64" s="36" t="str" cm="1">
        <f t="array" ref="Y64">IFERROR(INDEX(FORECAST!$D$12:$D$475, MATCH(1, INDEX((ISNUMBER(SEARCH($B64, FORECAST!$A$12:$A$475))) * (INT(FORECAST!$B$12:$B$475) &lt;= Y$57) * (INT(FORECAST!$C$12:$C$475) &gt;= Y$57), 0), 0)), "")</f>
        <v>Garantizado</v>
      </c>
      <c r="Z64" s="36" t="str" cm="1">
        <f t="array" ref="Z64">IFERROR(INDEX(FORECAST!$D$12:$D$475, MATCH(1, INDEX((ISNUMBER(SEARCH($B64, FORECAST!$A$12:$A$475))) * (INT(FORECAST!$B$12:$B$475) &lt;= Z$57) * (INT(FORECAST!$C$12:$C$475) &gt;= Z$57), 0), 0)), "")</f>
        <v>Garantizado</v>
      </c>
      <c r="AA64" s="36" t="str" cm="1">
        <f t="array" ref="AA64">IFERROR(INDEX(FORECAST!$D$12:$D$475, MATCH(1, INDEX((ISNUMBER(SEARCH($B64, FORECAST!$A$12:$A$475))) * (INT(FORECAST!$B$12:$B$475) &lt;= AA$57) * (INT(FORECAST!$C$12:$C$475) &gt;= AA$57), 0), 0)), "")</f>
        <v/>
      </c>
      <c r="AB64" s="36" t="str" cm="1">
        <f t="array" ref="AB64">IFERROR(INDEX(FORECAST!$D$12:$D$475, MATCH(1, INDEX((ISNUMBER(SEARCH($B64, FORECAST!$A$12:$A$475))) * (INT(FORECAST!$B$12:$B$475) &lt;= AB$57) * (INT(FORECAST!$C$12:$C$475) &gt;= AB$57), 0), 0)), "")</f>
        <v/>
      </c>
      <c r="AC64" s="36" t="str" cm="1">
        <f t="array" ref="AC64">IFERROR(INDEX(FORECAST!$D$12:$D$475, MATCH(1, INDEX((ISNUMBER(SEARCH($B64, FORECAST!$A$12:$A$475))) * (INT(FORECAST!$B$12:$B$475) &lt;= AC$57) * (INT(FORECAST!$C$12:$C$475) &gt;= AC$57), 0), 0)), "")</f>
        <v>Presupuesto</v>
      </c>
      <c r="AD64" s="36" t="str" cm="1">
        <f t="array" ref="AD64">IFERROR(INDEX(FORECAST!$D$12:$D$475, MATCH(1, INDEX((ISNUMBER(SEARCH($B64, FORECAST!$A$12:$A$475))) * (INT(FORECAST!$B$12:$B$475) &lt;= AD$57) * (INT(FORECAST!$C$12:$C$475) &gt;= AD$57), 0), 0)), "")</f>
        <v>Presupuesto</v>
      </c>
      <c r="AE64" s="36" t="str" cm="1">
        <f t="array" ref="AE64">IFERROR(INDEX(FORECAST!$D$12:$D$475, MATCH(1, INDEX((ISNUMBER(SEARCH($B64, FORECAST!$A$12:$A$475))) * (INT(FORECAST!$B$12:$B$475) &lt;= AE$57) * (INT(FORECAST!$C$12:$C$475) &gt;= AE$57), 0), 0)), "")</f>
        <v/>
      </c>
      <c r="AF64" s="36" t="str" cm="1">
        <f t="array" ref="AF64">IFERROR(INDEX(FORECAST!$D$12:$D$475, MATCH(1, INDEX((ISNUMBER(SEARCH($B64, FORECAST!$A$12:$A$475))) * (INT(FORECAST!$B$12:$B$475) &lt;= AF$57) * (INT(FORECAST!$C$12:$C$475) &gt;= AF$57), 0), 0)), "")</f>
        <v/>
      </c>
      <c r="AG64" s="36" t="str" cm="1">
        <f t="array" ref="AG64">IFERROR(INDEX(FORECAST!$D$12:$D$475, MATCH(1, INDEX((ISNUMBER(SEARCH($B64, FORECAST!$A$12:$A$475))) * (INT(FORECAST!$B$12:$B$475) &lt;= AG$57) * (INT(FORECAST!$C$12:$C$475) &gt;= AG$57), 0), 0)), "")</f>
        <v/>
      </c>
      <c r="AH64" s="16"/>
      <c r="AI64" s="2"/>
      <c r="AJ64" s="45">
        <f t="shared" si="4"/>
        <v>0.16129032258064516</v>
      </c>
    </row>
    <row r="65" spans="1:40" x14ac:dyDescent="0.25">
      <c r="A65" s="72"/>
      <c r="B65" s="25" t="s">
        <v>80</v>
      </c>
      <c r="C65" s="36" t="str" cm="1">
        <f t="array" ref="C65">IFERROR(INDEX(FORECAST!$D$12:$D$475, MATCH(1, INDEX((ISNUMBER(SEARCH($B65, FORECAST!$A$12:$A$475))) * (INT(FORECAST!$B$12:$B$475) &lt;= C$57) * (INT(FORECAST!$C$12:$C$475) &gt;= C$57), 0), 0)), "")</f>
        <v/>
      </c>
      <c r="D65" s="36" t="str" cm="1">
        <f t="array" ref="D65">IFERROR(INDEX(FORECAST!$D$12:$D$475, MATCH(1, INDEX((ISNUMBER(SEARCH($B65, FORECAST!$A$12:$A$475))) * (INT(FORECAST!$B$12:$B$475) &lt;= D$57) * (INT(FORECAST!$C$12:$C$475) &gt;= D$57), 0), 0)), "")</f>
        <v/>
      </c>
      <c r="E65" s="36" t="str" cm="1">
        <f t="array" ref="E65">IFERROR(INDEX(FORECAST!$D$12:$D$475, MATCH(1, INDEX((ISNUMBER(SEARCH($B65, FORECAST!$A$12:$A$475))) * (INT(FORECAST!$B$12:$B$475) &lt;= E$57) * (INT(FORECAST!$C$12:$C$475) &gt;= E$57), 0), 0)), "")</f>
        <v/>
      </c>
      <c r="F65" s="36" t="str" cm="1">
        <f t="array" ref="F65">IFERROR(INDEX(FORECAST!$D$12:$D$475, MATCH(1, INDEX((ISNUMBER(SEARCH($B65, FORECAST!$A$12:$A$475))) * (INT(FORECAST!$B$12:$B$475) &lt;= F$57) * (INT(FORECAST!$C$12:$C$475) &gt;= F$57), 0), 0)), "")</f>
        <v/>
      </c>
      <c r="G65" s="36" t="str" cm="1">
        <f t="array" ref="G65">IFERROR(INDEX(FORECAST!$D$12:$D$475, MATCH(1, INDEX((ISNUMBER(SEARCH($B65, FORECAST!$A$12:$A$475))) * (INT(FORECAST!$B$12:$B$475) &lt;= G$57) * (INT(FORECAST!$C$12:$C$475) &gt;= G$57), 0), 0)), "")</f>
        <v/>
      </c>
      <c r="H65" s="36" t="str" cm="1">
        <f t="array" ref="H65">IFERROR(INDEX(FORECAST!$D$12:$D$475, MATCH(1, INDEX((ISNUMBER(SEARCH($B65, FORECAST!$A$12:$A$475))) * (INT(FORECAST!$B$12:$B$475) &lt;= H$57) * (INT(FORECAST!$C$12:$C$475) &gt;= H$57), 0), 0)), "")</f>
        <v/>
      </c>
      <c r="I65" s="36" t="str" cm="1">
        <f t="array" ref="I65">IFERROR(INDEX(FORECAST!$D$12:$D$475, MATCH(1, INDEX((ISNUMBER(SEARCH($B65, FORECAST!$A$12:$A$475))) * (INT(FORECAST!$B$12:$B$475) &lt;= I$57) * (INT(FORECAST!$C$12:$C$475) &gt;= I$57), 0), 0)), "")</f>
        <v/>
      </c>
      <c r="J65" s="36" t="str" cm="1">
        <f t="array" ref="J65">IFERROR(INDEX(FORECAST!$D$12:$D$475, MATCH(1, INDEX((ISNUMBER(SEARCH($B65, FORECAST!$A$12:$A$475))) * (INT(FORECAST!$B$12:$B$475) &lt;= J$57) * (INT(FORECAST!$C$12:$C$475) &gt;= J$57), 0), 0)), "")</f>
        <v/>
      </c>
      <c r="K65" s="36" t="str" cm="1">
        <f t="array" ref="K65">IFERROR(INDEX(FORECAST!$D$12:$D$475, MATCH(1, INDEX((ISNUMBER(SEARCH($B65, FORECAST!$A$12:$A$475))) * (INT(FORECAST!$B$12:$B$475) &lt;= K$57) * (INT(FORECAST!$C$12:$C$475) &gt;= K$57), 0), 0)), "")</f>
        <v/>
      </c>
      <c r="L65" s="36" t="str" cm="1">
        <f t="array" ref="L65">IFERROR(INDEX(FORECAST!$D$12:$D$475, MATCH(1, INDEX((ISNUMBER(SEARCH($B65, FORECAST!$A$12:$A$475))) * (INT(FORECAST!$B$12:$B$475) &lt;= L$57) * (INT(FORECAST!$C$12:$C$475) &gt;= L$57), 0), 0)), "")</f>
        <v/>
      </c>
      <c r="M65" s="36" t="str" cm="1">
        <f t="array" ref="M65">IFERROR(INDEX(FORECAST!$D$12:$D$475, MATCH(1, INDEX((ISNUMBER(SEARCH($B65, FORECAST!$A$12:$A$475))) * (INT(FORECAST!$B$12:$B$475) &lt;= M$57) * (INT(FORECAST!$C$12:$C$475) &gt;= M$57), 0), 0)), "")</f>
        <v/>
      </c>
      <c r="N65" s="36" t="str" cm="1">
        <f t="array" ref="N65">IFERROR(INDEX(FORECAST!$D$12:$D$475, MATCH(1, INDEX((ISNUMBER(SEARCH($B65, FORECAST!$A$12:$A$475))) * (INT(FORECAST!$B$12:$B$475) &lt;= N$57) * (INT(FORECAST!$C$12:$C$475) &gt;= N$57), 0), 0)), "")</f>
        <v/>
      </c>
      <c r="O65" s="36" t="str" cm="1">
        <f t="array" ref="O65">IFERROR(INDEX(FORECAST!$D$12:$D$475, MATCH(1, INDEX((ISNUMBER(SEARCH($B65, FORECAST!$A$12:$A$475))) * (INT(FORECAST!$B$12:$B$475) &lt;= O$57) * (INT(FORECAST!$C$12:$C$475) &gt;= O$57), 0), 0)), "")</f>
        <v/>
      </c>
      <c r="P65" s="36" t="str" cm="1">
        <f t="array" ref="P65">IFERROR(INDEX(FORECAST!$D$12:$D$475, MATCH(1, INDEX((ISNUMBER(SEARCH($B65, FORECAST!$A$12:$A$475))) * (INT(FORECAST!$B$12:$B$475) &lt;= P$57) * (INT(FORECAST!$C$12:$C$475) &gt;= P$57), 0), 0)), "")</f>
        <v/>
      </c>
      <c r="Q65" s="36" t="str" cm="1">
        <f t="array" ref="Q65">IFERROR(INDEX(FORECAST!$D$12:$D$475, MATCH(1, INDEX((ISNUMBER(SEARCH($B65, FORECAST!$A$12:$A$475))) * (INT(FORECAST!$B$12:$B$475) &lt;= Q$57) * (INT(FORECAST!$C$12:$C$475) &gt;= Q$57), 0), 0)), "")</f>
        <v/>
      </c>
      <c r="R65" s="36" t="str" cm="1">
        <f t="array" ref="R65">IFERROR(INDEX(FORECAST!$D$12:$D$475, MATCH(1, INDEX((ISNUMBER(SEARCH($B65, FORECAST!$A$12:$A$475))) * (INT(FORECAST!$B$12:$B$475) &lt;= R$57) * (INT(FORECAST!$C$12:$C$475) &gt;= R$57), 0), 0)), "")</f>
        <v/>
      </c>
      <c r="S65" s="36" t="str" cm="1">
        <f t="array" ref="S65">IFERROR(INDEX(FORECAST!$D$12:$D$475, MATCH(1, INDEX((ISNUMBER(SEARCH($B65, FORECAST!$A$12:$A$475))) * (INT(FORECAST!$B$12:$B$475) &lt;= S$57) * (INT(FORECAST!$C$12:$C$475) &gt;= S$57), 0), 0)), "")</f>
        <v/>
      </c>
      <c r="T65" s="36" t="str" cm="1">
        <f t="array" ref="T65">IFERROR(INDEX(FORECAST!$D$12:$D$475, MATCH(1, INDEX((ISNUMBER(SEARCH($B65, FORECAST!$A$12:$A$475))) * (INT(FORECAST!$B$12:$B$475) &lt;= T$57) * (INT(FORECAST!$C$12:$C$475) &gt;= T$57), 0), 0)), "")</f>
        <v/>
      </c>
      <c r="U65" s="36" t="str" cm="1">
        <f t="array" ref="U65">IFERROR(INDEX(FORECAST!$D$12:$D$475, MATCH(1, INDEX((ISNUMBER(SEARCH($B65, FORECAST!$A$12:$A$475))) * (INT(FORECAST!$B$12:$B$475) &lt;= U$57) * (INT(FORECAST!$C$12:$C$475) &gt;= U$57), 0), 0)), "")</f>
        <v/>
      </c>
      <c r="V65" s="36" t="str" cm="1">
        <f t="array" ref="V65">IFERROR(INDEX(FORECAST!$D$12:$D$475, MATCH(1, INDEX((ISNUMBER(SEARCH($B65, FORECAST!$A$12:$A$475))) * (INT(FORECAST!$B$12:$B$475) &lt;= V$57) * (INT(FORECAST!$C$12:$C$475) &gt;= V$57), 0), 0)), "")</f>
        <v/>
      </c>
      <c r="W65" s="36" t="str" cm="1">
        <f t="array" ref="W65">IFERROR(INDEX(FORECAST!$D$12:$D$475, MATCH(1, INDEX((ISNUMBER(SEARCH($B65, FORECAST!$A$12:$A$475))) * (INT(FORECAST!$B$12:$B$475) &lt;= W$57) * (INT(FORECAST!$C$12:$C$475) &gt;= W$57), 0), 0)), "")</f>
        <v/>
      </c>
      <c r="X65" s="36" t="str" cm="1">
        <f t="array" ref="X65">IFERROR(INDEX(FORECAST!$D$12:$D$475, MATCH(1, INDEX((ISNUMBER(SEARCH($B65, FORECAST!$A$12:$A$475))) * (INT(FORECAST!$B$12:$B$475) &lt;= X$57) * (INT(FORECAST!$C$12:$C$475) &gt;= X$57), 0), 0)), "")</f>
        <v>Garantizado</v>
      </c>
      <c r="Y65" s="36" t="str" cm="1">
        <f t="array" ref="Y65">IFERROR(INDEX(FORECAST!$D$12:$D$475, MATCH(1, INDEX((ISNUMBER(SEARCH($B65, FORECAST!$A$12:$A$475))) * (INT(FORECAST!$B$12:$B$475) &lt;= Y$57) * (INT(FORECAST!$C$12:$C$475) &gt;= Y$57), 0), 0)), "")</f>
        <v>Garantizado</v>
      </c>
      <c r="Z65" s="36" t="str" cm="1">
        <f t="array" ref="Z65">IFERROR(INDEX(FORECAST!$D$12:$D$475, MATCH(1, INDEX((ISNUMBER(SEARCH($B65, FORECAST!$A$12:$A$475))) * (INT(FORECAST!$B$12:$B$475) &lt;= Z$57) * (INT(FORECAST!$C$12:$C$475) &gt;= Z$57), 0), 0)), "")</f>
        <v>Garantizado</v>
      </c>
      <c r="AA65" s="36" t="str" cm="1">
        <f t="array" ref="AA65">IFERROR(INDEX(FORECAST!$D$12:$D$475, MATCH(1, INDEX((ISNUMBER(SEARCH($B65, FORECAST!$A$12:$A$475))) * (INT(FORECAST!$B$12:$B$475) &lt;= AA$57) * (INT(FORECAST!$C$12:$C$475) &gt;= AA$57), 0), 0)), "")</f>
        <v/>
      </c>
      <c r="AB65" s="36" t="str" cm="1">
        <f t="array" ref="AB65">IFERROR(INDEX(FORECAST!$D$12:$D$475, MATCH(1, INDEX((ISNUMBER(SEARCH($B65, FORECAST!$A$12:$A$475))) * (INT(FORECAST!$B$12:$B$475) &lt;= AB$57) * (INT(FORECAST!$C$12:$C$475) &gt;= AB$57), 0), 0)), "")</f>
        <v/>
      </c>
      <c r="AC65" s="36" t="str" cm="1">
        <f t="array" ref="AC65">IFERROR(INDEX(FORECAST!$D$12:$D$475, MATCH(1, INDEX((ISNUMBER(SEARCH($B65, FORECAST!$A$12:$A$475))) * (INT(FORECAST!$B$12:$B$475) &lt;= AC$57) * (INT(FORECAST!$C$12:$C$475) &gt;= AC$57), 0), 0)), "")</f>
        <v/>
      </c>
      <c r="AD65" s="36" t="str" cm="1">
        <f t="array" ref="AD65">IFERROR(INDEX(FORECAST!$D$12:$D$475, MATCH(1, INDEX((ISNUMBER(SEARCH($B65, FORECAST!$A$12:$A$475))) * (INT(FORECAST!$B$12:$B$475) &lt;= AD$57) * (INT(FORECAST!$C$12:$C$475) &gt;= AD$57), 0), 0)), "")</f>
        <v/>
      </c>
      <c r="AE65" s="36" t="str" cm="1">
        <f t="array" ref="AE65">IFERROR(INDEX(FORECAST!$D$12:$D$475, MATCH(1, INDEX((ISNUMBER(SEARCH($B65, FORECAST!$A$12:$A$475))) * (INT(FORECAST!$B$12:$B$475) &lt;= AE$57) * (INT(FORECAST!$C$12:$C$475) &gt;= AE$57), 0), 0)), "")</f>
        <v/>
      </c>
      <c r="AF65" s="36" t="str" cm="1">
        <f t="array" ref="AF65">IFERROR(INDEX(FORECAST!$D$12:$D$475, MATCH(1, INDEX((ISNUMBER(SEARCH($B65, FORECAST!$A$12:$A$475))) * (INT(FORECAST!$B$12:$B$475) &lt;= AF$57) * (INT(FORECAST!$C$12:$C$475) &gt;= AF$57), 0), 0)), "")</f>
        <v/>
      </c>
      <c r="AG65" s="36" t="str" cm="1">
        <f t="array" ref="AG65">IFERROR(INDEX(FORECAST!$D$12:$D$475, MATCH(1, INDEX((ISNUMBER(SEARCH($B65, FORECAST!$A$12:$A$475))) * (INT(FORECAST!$B$12:$B$475) &lt;= AG$57) * (INT(FORECAST!$C$12:$C$475) &gt;= AG$57), 0), 0)), "")</f>
        <v/>
      </c>
      <c r="AH65" s="16"/>
      <c r="AI65" s="2"/>
      <c r="AJ65" s="45">
        <f t="shared" si="4"/>
        <v>9.6774193548387094E-2</v>
      </c>
    </row>
    <row r="66" spans="1:40" x14ac:dyDescent="0.25">
      <c r="AE66" s="9" t="str" cm="1">
        <f t="array" ref="AE66">IFERROR(INDEX(FORECAST!$E$12:$E$475, MATCH(1, INDEX((ISNUMBER(SEARCH($C66, FORECAST!$A$12:$A$475))) * (FORECAST!$B$12:$B$475 &lt;= AE$37) * (FORECAST!$C$12:$C$475 &gt;= AE$37), 0), 0)), "")</f>
        <v/>
      </c>
      <c r="AF66" s="9" t="str" cm="1">
        <f t="array" ref="AF66">IFERROR(INDEX(FORECAST!$E$12:$E$475, MATCH(1, INDEX((ISNUMBER(SEARCH($C66, FORECAST!$A$12:$A$475))) * (FORECAST!$B$12:$B$475 &lt;= AF$37) * (FORECAST!$C$12:$C$475 &gt;= AF$37), 0), 0)), "")</f>
        <v/>
      </c>
      <c r="AG66" s="9" t="str" cm="1">
        <f t="array" ref="AG66">IFERROR(INDEX(FORECAST!$E$12:$E$475, MATCH(1, INDEX((ISNUMBER(SEARCH($C66, FORECAST!$A$12:$A$475))) * (FORECAST!$B$12:$B$475 &lt;= AG$37) * (FORECAST!$C$12:$C$475 &gt;= AG$37), 0), 0)), "")</f>
        <v/>
      </c>
      <c r="AH66" s="2"/>
      <c r="AI66" s="2"/>
    </row>
    <row r="67" spans="1:40" x14ac:dyDescent="0.25"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40"/>
      <c r="AF67" s="40"/>
      <c r="AG67" s="9"/>
      <c r="AH67" s="9"/>
      <c r="AI67" s="2"/>
    </row>
    <row r="68" spans="1:40" x14ac:dyDescent="0.25">
      <c r="C68" s="1" t="s">
        <v>506</v>
      </c>
      <c r="D68" s="1" t="s">
        <v>507</v>
      </c>
      <c r="E68" s="1" t="s">
        <v>508</v>
      </c>
      <c r="F68" s="1" t="s">
        <v>502</v>
      </c>
      <c r="G68" s="1" t="s">
        <v>503</v>
      </c>
      <c r="H68" s="7" t="s">
        <v>504</v>
      </c>
      <c r="I68" s="7" t="s">
        <v>505</v>
      </c>
      <c r="J68" s="1" t="s">
        <v>506</v>
      </c>
      <c r="K68" s="1" t="s">
        <v>507</v>
      </c>
      <c r="L68" s="1" t="s">
        <v>508</v>
      </c>
      <c r="M68" s="1" t="s">
        <v>502</v>
      </c>
      <c r="N68" s="1" t="s">
        <v>503</v>
      </c>
      <c r="O68" s="7" t="s">
        <v>504</v>
      </c>
      <c r="P68" s="7" t="s">
        <v>505</v>
      </c>
      <c r="Q68" s="16" t="s">
        <v>506</v>
      </c>
      <c r="R68" s="16" t="s">
        <v>507</v>
      </c>
      <c r="S68" s="13" t="s">
        <v>508</v>
      </c>
      <c r="T68" s="1" t="s">
        <v>502</v>
      </c>
      <c r="U68" s="1" t="s">
        <v>503</v>
      </c>
      <c r="V68" s="7" t="s">
        <v>509</v>
      </c>
      <c r="W68" s="7" t="s">
        <v>510</v>
      </c>
      <c r="X68" s="1" t="s">
        <v>511</v>
      </c>
      <c r="Y68" s="16" t="s">
        <v>512</v>
      </c>
      <c r="Z68" s="1" t="s">
        <v>513</v>
      </c>
      <c r="AA68" s="1" t="s">
        <v>514</v>
      </c>
      <c r="AB68" s="1" t="s">
        <v>515</v>
      </c>
      <c r="AC68" s="7" t="s">
        <v>509</v>
      </c>
      <c r="AD68" s="24" t="s">
        <v>510</v>
      </c>
      <c r="AE68" s="16" t="s">
        <v>511</v>
      </c>
      <c r="AF68" s="1" t="s">
        <v>512</v>
      </c>
      <c r="AH68" s="9"/>
      <c r="AI68" s="2"/>
    </row>
    <row r="69" spans="1:40" x14ac:dyDescent="0.25">
      <c r="C69" s="61">
        <v>46174</v>
      </c>
      <c r="D69" s="61">
        <v>46175</v>
      </c>
      <c r="E69" s="61">
        <v>46176</v>
      </c>
      <c r="F69" s="61">
        <v>46177</v>
      </c>
      <c r="G69" s="61">
        <v>46178</v>
      </c>
      <c r="H69" s="61">
        <v>46179</v>
      </c>
      <c r="I69" s="61">
        <v>46180</v>
      </c>
      <c r="J69" s="61">
        <v>46181</v>
      </c>
      <c r="K69" s="61">
        <v>46182</v>
      </c>
      <c r="L69" s="61">
        <v>46183</v>
      </c>
      <c r="M69" s="61">
        <v>46184</v>
      </c>
      <c r="N69" s="61">
        <v>46185</v>
      </c>
      <c r="O69" s="61">
        <v>46186</v>
      </c>
      <c r="P69" s="61">
        <v>46187</v>
      </c>
      <c r="Q69" s="61">
        <v>46188</v>
      </c>
      <c r="R69" s="61">
        <v>46189</v>
      </c>
      <c r="S69" s="61">
        <v>46190</v>
      </c>
      <c r="T69" s="61">
        <v>46191</v>
      </c>
      <c r="U69" s="61">
        <v>46192</v>
      </c>
      <c r="V69" s="61">
        <v>46193</v>
      </c>
      <c r="W69" s="61">
        <v>46194</v>
      </c>
      <c r="X69" s="61">
        <v>46195</v>
      </c>
      <c r="Y69" s="61">
        <v>46196</v>
      </c>
      <c r="Z69" s="61">
        <v>46197</v>
      </c>
      <c r="AA69" s="61">
        <v>46198</v>
      </c>
      <c r="AB69" s="61">
        <v>46199</v>
      </c>
      <c r="AC69" s="61">
        <v>46200</v>
      </c>
      <c r="AD69" s="61">
        <v>46201</v>
      </c>
      <c r="AE69" s="61">
        <v>46202</v>
      </c>
      <c r="AF69" s="61">
        <v>46203</v>
      </c>
      <c r="AH69" s="9"/>
      <c r="AI69" s="2"/>
      <c r="AJ69" s="22" t="s">
        <v>516</v>
      </c>
    </row>
    <row r="70" spans="1:40" ht="15" customHeight="1" x14ac:dyDescent="0.25">
      <c r="A70" s="70" t="s">
        <v>528</v>
      </c>
      <c r="B70" s="26" t="s">
        <v>518</v>
      </c>
      <c r="C70" s="34" t="str" cm="1">
        <f t="array" ref="C70">IFERROR(INDEX(FORECAST!$D$12:$D$475, MATCH(1, INDEX((ISNUMBER(SEARCH($B70, FORECAST!$A$12:$A$475))) * (INT(FORECAST!$B$12:$B$475) &lt;= C$69) * (INT(FORECAST!$C$12:$C$475) &gt;= C$69), 0), 0)), "")</f>
        <v/>
      </c>
      <c r="D70" s="34" t="str" cm="1">
        <f t="array" ref="D70">IFERROR(INDEX(FORECAST!$D$12:$D$475, MATCH(1, INDEX((ISNUMBER(SEARCH($B70, FORECAST!$A$12:$A$475))) * (INT(FORECAST!$B$12:$B$475) &lt;= D$69) * (INT(FORECAST!$C$12:$C$475) &gt;= D$69), 0), 0)), "")</f>
        <v/>
      </c>
      <c r="E70" s="34" t="str" cm="1">
        <f t="array" ref="E70">IFERROR(INDEX(FORECAST!$D$12:$D$475, MATCH(1, INDEX((ISNUMBER(SEARCH($B70, FORECAST!$A$12:$A$475))) * (INT(FORECAST!$B$12:$B$475) &lt;= E$69) * (INT(FORECAST!$C$12:$C$475) &gt;= E$69), 0), 0)), "")</f>
        <v>Garantizado</v>
      </c>
      <c r="F70" s="34" t="str" cm="1">
        <f t="array" ref="F70">IFERROR(INDEX(FORECAST!$D$12:$D$475, MATCH(1, INDEX((ISNUMBER(SEARCH($B70, FORECAST!$A$12:$A$475))) * (INT(FORECAST!$B$12:$B$475) &lt;= F$69) * (INT(FORECAST!$C$12:$C$475) &gt;= F$69), 0), 0)), "")</f>
        <v>Garantizado</v>
      </c>
      <c r="G70" s="34" t="str" cm="1">
        <f t="array" ref="G70">IFERROR(INDEX(FORECAST!$D$12:$D$475, MATCH(1, INDEX((ISNUMBER(SEARCH($B70, FORECAST!$A$12:$A$475))) * (INT(FORECAST!$B$12:$B$475) &lt;= G$69) * (INT(FORECAST!$C$12:$C$475) &gt;= G$69), 0), 0)), "")</f>
        <v>Garantizado</v>
      </c>
      <c r="H70" s="34" t="str" cm="1">
        <f t="array" ref="H70">IFERROR(INDEX(FORECAST!$D$12:$D$475, MATCH(1, INDEX((ISNUMBER(SEARCH($B70, FORECAST!$A$12:$A$475))) * (INT(FORECAST!$B$12:$B$475) &lt;= H$69) * (INT(FORECAST!$C$12:$C$475) &gt;= H$69), 0), 0)), "")</f>
        <v>Garantizado</v>
      </c>
      <c r="I70" s="34" t="str" cm="1">
        <f t="array" ref="I70">IFERROR(INDEX(FORECAST!$D$12:$D$475, MATCH(1, INDEX((ISNUMBER(SEARCH($B70, FORECAST!$A$12:$A$475))) * (INT(FORECAST!$B$12:$B$475) &lt;= I$69) * (INT(FORECAST!$C$12:$C$475) &gt;= I$69), 0), 0)), "")</f>
        <v/>
      </c>
      <c r="J70" s="34" t="str" cm="1">
        <f t="array" ref="J70">IFERROR(INDEX(FORECAST!$D$12:$D$475, MATCH(1, INDEX((ISNUMBER(SEARCH($B70, FORECAST!$A$12:$A$475))) * (INT(FORECAST!$B$12:$B$475) &lt;= J$69) * (INT(FORECAST!$C$12:$C$475) &gt;= J$69), 0), 0)), "")</f>
        <v/>
      </c>
      <c r="K70" s="34" t="str" cm="1">
        <f t="array" ref="K70">IFERROR(INDEX(FORECAST!$D$12:$D$475, MATCH(1, INDEX((ISNUMBER(SEARCH($B70, FORECAST!$A$12:$A$475))) * (INT(FORECAST!$B$12:$B$475) &lt;= K$69) * (INT(FORECAST!$C$12:$C$475) &gt;= K$69), 0), 0)), "")</f>
        <v>Tentativo</v>
      </c>
      <c r="L70" s="34" t="str" cm="1">
        <f t="array" ref="L70">IFERROR(INDEX(FORECAST!$D$12:$D$475, MATCH(1, INDEX((ISNUMBER(SEARCH($B70, FORECAST!$A$12:$A$475))) * (INT(FORECAST!$B$12:$B$475) &lt;= L$69) * (INT(FORECAST!$C$12:$C$475) &gt;= L$69), 0), 0)), "")</f>
        <v>Garantizado</v>
      </c>
      <c r="M70" s="34" t="str" cm="1">
        <f t="array" ref="M70">IFERROR(INDEX(FORECAST!$D$12:$D$475, MATCH(1, INDEX((ISNUMBER(SEARCH($B70, FORECAST!$A$12:$A$475))) * (INT(FORECAST!$B$12:$B$475) &lt;= M$69) * (INT(FORECAST!$C$12:$C$475) &gt;= M$69), 0), 0)), "")</f>
        <v>Garantizado</v>
      </c>
      <c r="N70" s="34" t="str" cm="1">
        <f t="array" ref="N70">IFERROR(INDEX(FORECAST!$D$12:$D$475, MATCH(1, INDEX((ISNUMBER(SEARCH($B70, FORECAST!$A$12:$A$475))) * (INT(FORECAST!$B$12:$B$475) &lt;= N$69) * (INT(FORECAST!$C$12:$C$475) &gt;= N$69), 0), 0)), "")</f>
        <v>Garantizado</v>
      </c>
      <c r="O70" s="34" t="str" cm="1">
        <f t="array" ref="O70">IFERROR(INDEX(FORECAST!$D$12:$D$475, MATCH(1, INDEX((ISNUMBER(SEARCH($B70, FORECAST!$A$12:$A$475))) * (INT(FORECAST!$B$12:$B$475) &lt;= O$69) * (INT(FORECAST!$C$12:$C$475) &gt;= O$69), 0), 0)), "")</f>
        <v>Garantizado</v>
      </c>
      <c r="P70" s="34" t="str" cm="1">
        <f t="array" ref="P70">IFERROR(INDEX(FORECAST!$D$12:$D$475, MATCH(1, INDEX((ISNUMBER(SEARCH($B70, FORECAST!$A$12:$A$475))) * (INT(FORECAST!$B$12:$B$475) &lt;= P$69) * (INT(FORECAST!$C$12:$C$475) &gt;= P$69), 0), 0)), "")</f>
        <v/>
      </c>
      <c r="Q70" s="34" t="str" cm="1">
        <f t="array" ref="Q70">IFERROR(INDEX(FORECAST!$D$12:$D$475, MATCH(1, INDEX((ISNUMBER(SEARCH($B70, FORECAST!$A$12:$A$475))) * (INT(FORECAST!$B$12:$B$475) &lt;= Q$69) * (INT(FORECAST!$C$12:$C$475) &gt;= Q$69), 0), 0)), "")</f>
        <v/>
      </c>
      <c r="R70" s="34" t="str" cm="1">
        <f t="array" ref="R70">IFERROR(INDEX(FORECAST!$D$12:$D$475, MATCH(1, INDEX((ISNUMBER(SEARCH($B70, FORECAST!$A$12:$A$475))) * (INT(FORECAST!$B$12:$B$475) &lt;= R$69) * (INT(FORECAST!$C$12:$C$475) &gt;= R$69), 0), 0)), "")</f>
        <v>Presupuesto</v>
      </c>
      <c r="S70" s="34" t="str" cm="1">
        <f t="array" ref="S70">IFERROR(INDEX(FORECAST!$D$12:$D$475, MATCH(1, INDEX((ISNUMBER(SEARCH($B70, FORECAST!$A$12:$A$475))) * (INT(FORECAST!$B$12:$B$475) &lt;= S$69) * (INT(FORECAST!$C$12:$C$475) &gt;= S$69), 0), 0)), "")</f>
        <v>Garantizado</v>
      </c>
      <c r="T70" s="34" t="str" cm="1">
        <f t="array" ref="T70">IFERROR(INDEX(FORECAST!$D$12:$D$475, MATCH(1, INDEX((ISNUMBER(SEARCH($B70, FORECAST!$A$12:$A$475))) * (INT(FORECAST!$B$12:$B$475) &lt;= T$69) * (INT(FORECAST!$C$12:$C$475) &gt;= T$69), 0), 0)), "")</f>
        <v>Garantizado</v>
      </c>
      <c r="U70" s="34" t="str" cm="1">
        <f t="array" ref="U70">IFERROR(INDEX(FORECAST!$D$12:$D$475, MATCH(1, INDEX((ISNUMBER(SEARCH($B70, FORECAST!$A$12:$A$475))) * (INT(FORECAST!$B$12:$B$475) &lt;= U$69) * (INT(FORECAST!$C$12:$C$475) &gt;= U$69), 0), 0)), "")</f>
        <v/>
      </c>
      <c r="V70" s="34" t="str" cm="1">
        <f t="array" ref="V70">IFERROR(INDEX(FORECAST!$D$12:$D$475, MATCH(1, INDEX((ISNUMBER(SEARCH($B70, FORECAST!$A$12:$A$475))) * (INT(FORECAST!$B$12:$B$475) &lt;= V$69) * (INT(FORECAST!$C$12:$C$475) &gt;= V$69), 0), 0)), "")</f>
        <v/>
      </c>
      <c r="W70" s="34" t="str" cm="1">
        <f t="array" ref="W70">IFERROR(INDEX(FORECAST!$D$12:$D$475, MATCH(1, INDEX((ISNUMBER(SEARCH($B70, FORECAST!$A$12:$A$475))) * (INT(FORECAST!$B$12:$B$475) &lt;= W$69) * (INT(FORECAST!$C$12:$C$475) &gt;= W$69), 0), 0)), "")</f>
        <v/>
      </c>
      <c r="X70" s="34" t="str" cm="1">
        <f t="array" ref="X70">IFERROR(INDEX(FORECAST!$D$12:$D$475, MATCH(1, INDEX((ISNUMBER(SEARCH($B70, FORECAST!$A$12:$A$475))) * (INT(FORECAST!$B$12:$B$475) &lt;= X$69) * (INT(FORECAST!$C$12:$C$475) &gt;= X$69), 0), 0)), "")</f>
        <v>Tentativo</v>
      </c>
      <c r="Y70" s="34" t="str" cm="1">
        <f t="array" ref="Y70">IFERROR(INDEX(FORECAST!$D$12:$D$475, MATCH(1, INDEX((ISNUMBER(SEARCH($B70, FORECAST!$A$12:$A$475))) * (INT(FORECAST!$B$12:$B$475) &lt;= Y$69) * (INT(FORECAST!$C$12:$C$475) &gt;= Y$69), 0), 0)), "")</f>
        <v>Tentativo</v>
      </c>
      <c r="Z70" s="34" t="str" cm="1">
        <f t="array" ref="Z70">IFERROR(INDEX(FORECAST!$D$12:$D$475, MATCH(1, INDEX((ISNUMBER(SEARCH($B70, FORECAST!$A$12:$A$475))) * (INT(FORECAST!$B$12:$B$475) &lt;= Z$69) * (INT(FORECAST!$C$12:$C$475) &gt;= Z$69), 0), 0)), "")</f>
        <v>Tentativo</v>
      </c>
      <c r="AA70" s="34" t="str" cm="1">
        <f t="array" ref="AA70">IFERROR(INDEX(FORECAST!$D$12:$D$475, MATCH(1, INDEX((ISNUMBER(SEARCH($B70, FORECAST!$A$12:$A$475))) * (INT(FORECAST!$B$12:$B$475) &lt;= AA$69) * (INT(FORECAST!$C$12:$C$475) &gt;= AA$69), 0), 0)), "")</f>
        <v>Tentativo</v>
      </c>
      <c r="AB70" s="34" t="str" cm="1">
        <f t="array" ref="AB70">IFERROR(INDEX(FORECAST!$D$12:$D$475, MATCH(1, INDEX((ISNUMBER(SEARCH($B70, FORECAST!$A$12:$A$475))) * (INT(FORECAST!$B$12:$B$475) &lt;= AB$69) * (INT(FORECAST!$C$12:$C$475) &gt;= AB$69), 0), 0)), "")</f>
        <v>Tentativo</v>
      </c>
      <c r="AC70" s="34" t="str" cm="1">
        <f t="array" ref="AC70">IFERROR(INDEX(FORECAST!$D$12:$D$475, MATCH(1, INDEX((ISNUMBER(SEARCH($B70, FORECAST!$A$12:$A$475))) * (INT(FORECAST!$B$12:$B$475) &lt;= AC$69) * (INT(FORECAST!$C$12:$C$475) &gt;= AC$69), 0), 0)), "")</f>
        <v>Tentativo</v>
      </c>
      <c r="AD70" s="34" t="str" cm="1">
        <f t="array" ref="AD70">IFERROR(INDEX(FORECAST!$D$12:$D$475, MATCH(1, INDEX((ISNUMBER(SEARCH($B70, FORECAST!$A$12:$A$475))) * (INT(FORECAST!$B$12:$B$475) &lt;= AD$69) * (INT(FORECAST!$C$12:$C$475) &gt;= AD$69), 0), 0)), "")</f>
        <v>Tentativo</v>
      </c>
      <c r="AE70" s="34" t="str" cm="1">
        <f t="array" ref="AE70">IFERROR(INDEX(FORECAST!$D$12:$D$475, MATCH(1, INDEX((ISNUMBER(SEARCH($B70, FORECAST!$A$12:$A$475))) * (INT(FORECAST!$B$12:$B$475) &lt;= AE$69) * (INT(FORECAST!$C$12:$C$475) &gt;= AE$69), 0), 0)), "")</f>
        <v>Tentativo</v>
      </c>
      <c r="AF70" s="34" t="str" cm="1">
        <f t="array" ref="AF70">IFERROR(INDEX(FORECAST!$D$12:$D$475, MATCH(1, INDEX((ISNUMBER(SEARCH($B70, FORECAST!$A$12:$A$475))) * (INT(FORECAST!$B$12:$B$475) &lt;= AF$69) * (INT(FORECAST!$C$12:$C$475) &gt;= AF$69), 0), 0)), "")</f>
        <v>Tentativo</v>
      </c>
      <c r="AG70" s="16"/>
      <c r="AH70" s="9"/>
      <c r="AI70" s="2"/>
      <c r="AJ70" s="45">
        <f>COUNTIF(C70:AF70,"Garantizado")/30</f>
        <v>0.33333333333333331</v>
      </c>
    </row>
    <row r="71" spans="1:40" x14ac:dyDescent="0.25">
      <c r="A71" s="71"/>
      <c r="B71" s="26" t="s">
        <v>519</v>
      </c>
      <c r="C71" s="34" t="str" cm="1">
        <f t="array" ref="C71">IFERROR(INDEX(FORECAST!$D$12:$D$475, MATCH(1, INDEX((ISNUMBER(SEARCH($B71, FORECAST!$A$12:$A$475))) * (INT(FORECAST!$B$12:$B$475) &lt;= C$69) * (INT(FORECAST!$C$12:$C$475) &gt;= C$69), 0), 0)), "")</f>
        <v/>
      </c>
      <c r="D71" s="34" t="str" cm="1">
        <f t="array" ref="D71">IFERROR(INDEX(FORECAST!$D$12:$D$475, MATCH(1, INDEX((ISNUMBER(SEARCH($B71, FORECAST!$A$12:$A$475))) * (INT(FORECAST!$B$12:$B$475) &lt;= D$69) * (INT(FORECAST!$C$12:$C$475) &gt;= D$69), 0), 0)), "")</f>
        <v/>
      </c>
      <c r="E71" s="34" t="str" cm="1">
        <f t="array" ref="E71">IFERROR(INDEX(FORECAST!$D$12:$D$475, MATCH(1, INDEX((ISNUMBER(SEARCH($B71, FORECAST!$A$12:$A$475))) * (INT(FORECAST!$B$12:$B$475) &lt;= E$69) * (INT(FORECAST!$C$12:$C$475) &gt;= E$69), 0), 0)), "")</f>
        <v>Garantizado</v>
      </c>
      <c r="F71" s="34" t="str" cm="1">
        <f t="array" ref="F71">IFERROR(INDEX(FORECAST!$D$12:$D$475, MATCH(1, INDEX((ISNUMBER(SEARCH($B71, FORECAST!$A$12:$A$475))) * (INT(FORECAST!$B$12:$B$475) &lt;= F$69) * (INT(FORECAST!$C$12:$C$475) &gt;= F$69), 0), 0)), "")</f>
        <v>Garantizado</v>
      </c>
      <c r="G71" s="34" t="str" cm="1">
        <f t="array" ref="G71">IFERROR(INDEX(FORECAST!$D$12:$D$475, MATCH(1, INDEX((ISNUMBER(SEARCH($B71, FORECAST!$A$12:$A$475))) * (INT(FORECAST!$B$12:$B$475) &lt;= G$69) * (INT(FORECAST!$C$12:$C$475) &gt;= G$69), 0), 0)), "")</f>
        <v>Garantizado</v>
      </c>
      <c r="H71" s="34" t="str" cm="1">
        <f t="array" ref="H71">IFERROR(INDEX(FORECAST!$D$12:$D$475, MATCH(1, INDEX((ISNUMBER(SEARCH($B71, FORECAST!$A$12:$A$475))) * (INT(FORECAST!$B$12:$B$475) &lt;= H$69) * (INT(FORECAST!$C$12:$C$475) &gt;= H$69), 0), 0)), "")</f>
        <v>Garantizado</v>
      </c>
      <c r="I71" s="34" t="str" cm="1">
        <f t="array" ref="I71">IFERROR(INDEX(FORECAST!$D$12:$D$475, MATCH(1, INDEX((ISNUMBER(SEARCH($B71, FORECAST!$A$12:$A$475))) * (INT(FORECAST!$B$12:$B$475) &lt;= I$69) * (INT(FORECAST!$C$12:$C$475) &gt;= I$69), 0), 0)), "")</f>
        <v/>
      </c>
      <c r="J71" s="34" t="str" cm="1">
        <f t="array" ref="J71">IFERROR(INDEX(FORECAST!$D$12:$D$475, MATCH(1, INDEX((ISNUMBER(SEARCH($B71, FORECAST!$A$12:$A$475))) * (INT(FORECAST!$B$12:$B$475) &lt;= J$69) * (INT(FORECAST!$C$12:$C$475) &gt;= J$69), 0), 0)), "")</f>
        <v/>
      </c>
      <c r="K71" s="34" t="str" cm="1">
        <f t="array" ref="K71">IFERROR(INDEX(FORECAST!$D$12:$D$475, MATCH(1, INDEX((ISNUMBER(SEARCH($B71, FORECAST!$A$12:$A$475))) * (INT(FORECAST!$B$12:$B$475) &lt;= K$69) * (INT(FORECAST!$C$12:$C$475) &gt;= K$69), 0), 0)), "")</f>
        <v>Presupuesto</v>
      </c>
      <c r="L71" s="34" t="str" cm="1">
        <f t="array" ref="L71">IFERROR(INDEX(FORECAST!$D$12:$D$475, MATCH(1, INDEX((ISNUMBER(SEARCH($B71, FORECAST!$A$12:$A$475))) * (INT(FORECAST!$B$12:$B$475) &lt;= L$69) * (INT(FORECAST!$C$12:$C$475) &gt;= L$69), 0), 0)), "")</f>
        <v/>
      </c>
      <c r="M71" s="34" t="str" cm="1">
        <f t="array" ref="M71">IFERROR(INDEX(FORECAST!$D$12:$D$475, MATCH(1, INDEX((ISNUMBER(SEARCH($B71, FORECAST!$A$12:$A$475))) * (INT(FORECAST!$B$12:$B$475) &lt;= M$69) * (INT(FORECAST!$C$12:$C$475) &gt;= M$69), 0), 0)), "")</f>
        <v>Garantizado</v>
      </c>
      <c r="N71" s="34" t="str" cm="1">
        <f t="array" ref="N71">IFERROR(INDEX(FORECAST!$D$12:$D$475, MATCH(1, INDEX((ISNUMBER(SEARCH($B71, FORECAST!$A$12:$A$475))) * (INT(FORECAST!$B$12:$B$475) &lt;= N$69) * (INT(FORECAST!$C$12:$C$475) &gt;= N$69), 0), 0)), "")</f>
        <v>Garantizado</v>
      </c>
      <c r="O71" s="34" t="str" cm="1">
        <f t="array" ref="O71">IFERROR(INDEX(FORECAST!$D$12:$D$475, MATCH(1, INDEX((ISNUMBER(SEARCH($B71, FORECAST!$A$12:$A$475))) * (INT(FORECAST!$B$12:$B$475) &lt;= O$69) * (INT(FORECAST!$C$12:$C$475) &gt;= O$69), 0), 0)), "")</f>
        <v>Garantizado</v>
      </c>
      <c r="P71" s="34" t="str" cm="1">
        <f t="array" ref="P71">IFERROR(INDEX(FORECAST!$D$12:$D$475, MATCH(1, INDEX((ISNUMBER(SEARCH($B71, FORECAST!$A$12:$A$475))) * (INT(FORECAST!$B$12:$B$475) &lt;= P$69) * (INT(FORECAST!$C$12:$C$475) &gt;= P$69), 0), 0)), "")</f>
        <v/>
      </c>
      <c r="Q71" s="34" t="str" cm="1">
        <f t="array" ref="Q71">IFERROR(INDEX(FORECAST!$D$12:$D$475, MATCH(1, INDEX((ISNUMBER(SEARCH($B71, FORECAST!$A$12:$A$475))) * (INT(FORECAST!$B$12:$B$475) &lt;= Q$69) * (INT(FORECAST!$C$12:$C$475) &gt;= Q$69), 0), 0)), "")</f>
        <v>Tentativo</v>
      </c>
      <c r="R71" s="34" t="str" cm="1">
        <f t="array" ref="R71">IFERROR(INDEX(FORECAST!$D$12:$D$475, MATCH(1, INDEX((ISNUMBER(SEARCH($B71, FORECAST!$A$12:$A$475))) * (INT(FORECAST!$B$12:$B$475) &lt;= R$69) * (INT(FORECAST!$C$12:$C$475) &gt;= R$69), 0), 0)), "")</f>
        <v>Tentativo</v>
      </c>
      <c r="S71" s="34" t="str" cm="1">
        <f t="array" ref="S71">IFERROR(INDEX(FORECAST!$D$12:$D$475, MATCH(1, INDEX((ISNUMBER(SEARCH($B71, FORECAST!$A$12:$A$475))) * (INT(FORECAST!$B$12:$B$475) &lt;= S$69) * (INT(FORECAST!$C$12:$C$475) &gt;= S$69), 0), 0)), "")</f>
        <v>Tentativo</v>
      </c>
      <c r="T71" s="34" t="str" cm="1">
        <f t="array" ref="T71">IFERROR(INDEX(FORECAST!$D$12:$D$475, MATCH(1, INDEX((ISNUMBER(SEARCH($B71, FORECAST!$A$12:$A$475))) * (INT(FORECAST!$B$12:$B$475) &lt;= T$69) * (INT(FORECAST!$C$12:$C$475) &gt;= T$69), 0), 0)), "")</f>
        <v/>
      </c>
      <c r="U71" s="34" t="str" cm="1">
        <f t="array" ref="U71">IFERROR(INDEX(FORECAST!$D$12:$D$475, MATCH(1, INDEX((ISNUMBER(SEARCH($B71, FORECAST!$A$12:$A$475))) * (INT(FORECAST!$B$12:$B$475) &lt;= U$69) * (INT(FORECAST!$C$12:$C$475) &gt;= U$69), 0), 0)), "")</f>
        <v>Tentativo</v>
      </c>
      <c r="V71" s="34" t="str" cm="1">
        <f t="array" ref="V71">IFERROR(INDEX(FORECAST!$D$12:$D$475, MATCH(1, INDEX((ISNUMBER(SEARCH($B71, FORECAST!$A$12:$A$475))) * (INT(FORECAST!$B$12:$B$475) &lt;= V$69) * (INT(FORECAST!$C$12:$C$475) &gt;= V$69), 0), 0)), "")</f>
        <v/>
      </c>
      <c r="W71" s="34" t="str" cm="1">
        <f t="array" ref="W71">IFERROR(INDEX(FORECAST!$D$12:$D$475, MATCH(1, INDEX((ISNUMBER(SEARCH($B71, FORECAST!$A$12:$A$475))) * (INT(FORECAST!$B$12:$B$475) &lt;= W$69) * (INT(FORECAST!$C$12:$C$475) &gt;= W$69), 0), 0)), "")</f>
        <v/>
      </c>
      <c r="X71" s="34" t="str" cm="1">
        <f t="array" ref="X71">IFERROR(INDEX(FORECAST!$D$12:$D$475, MATCH(1, INDEX((ISNUMBER(SEARCH($B71, FORECAST!$A$12:$A$475))) * (INT(FORECAST!$B$12:$B$475) &lt;= X$69) * (INT(FORECAST!$C$12:$C$475) &gt;= X$69), 0), 0)), "")</f>
        <v>Presupuesto</v>
      </c>
      <c r="Y71" s="34" t="str" cm="1">
        <f t="array" ref="Y71">IFERROR(INDEX(FORECAST!$D$12:$D$475, MATCH(1, INDEX((ISNUMBER(SEARCH($B71, FORECAST!$A$12:$A$475))) * (INT(FORECAST!$B$12:$B$475) &lt;= Y$69) * (INT(FORECAST!$C$12:$C$475) &gt;= Y$69), 0), 0)), "")</f>
        <v>Presupuesto</v>
      </c>
      <c r="Z71" s="34" t="str" cm="1">
        <f t="array" ref="Z71">IFERROR(INDEX(FORECAST!$D$12:$D$475, MATCH(1, INDEX((ISNUMBER(SEARCH($B71, FORECAST!$A$12:$A$475))) * (INT(FORECAST!$B$12:$B$475) &lt;= Z$69) * (INT(FORECAST!$C$12:$C$475) &gt;= Z$69), 0), 0)), "")</f>
        <v>Presupuesto</v>
      </c>
      <c r="AA71" s="34" t="str" cm="1">
        <f t="array" ref="AA71">IFERROR(INDEX(FORECAST!$D$12:$D$475, MATCH(1, INDEX((ISNUMBER(SEARCH($B71, FORECAST!$A$12:$A$475))) * (INT(FORECAST!$B$12:$B$475) &lt;= AA$69) * (INT(FORECAST!$C$12:$C$475) &gt;= AA$69), 0), 0)), "")</f>
        <v/>
      </c>
      <c r="AB71" s="34" t="str" cm="1">
        <f t="array" ref="AB71">IFERROR(INDEX(FORECAST!$D$12:$D$475, MATCH(1, INDEX((ISNUMBER(SEARCH($B71, FORECAST!$A$12:$A$475))) * (INT(FORECAST!$B$12:$B$475) &lt;= AB$69) * (INT(FORECAST!$C$12:$C$475) &gt;= AB$69), 0), 0)), "")</f>
        <v/>
      </c>
      <c r="AC71" s="34" t="str" cm="1">
        <f t="array" ref="AC71">IFERROR(INDEX(FORECAST!$D$12:$D$475, MATCH(1, INDEX((ISNUMBER(SEARCH($B71, FORECAST!$A$12:$A$475))) * (INT(FORECAST!$B$12:$B$475) &lt;= AC$69) * (INT(FORECAST!$C$12:$C$475) &gt;= AC$69), 0), 0)), "")</f>
        <v/>
      </c>
      <c r="AD71" s="34" t="str" cm="1">
        <f t="array" ref="AD71">IFERROR(INDEX(FORECAST!$D$12:$D$475, MATCH(1, INDEX((ISNUMBER(SEARCH($B71, FORECAST!$A$12:$A$475))) * (INT(FORECAST!$B$12:$B$475) &lt;= AD$69) * (INT(FORECAST!$C$12:$C$475) &gt;= AD$69), 0), 0)), "")</f>
        <v>Tentativo</v>
      </c>
      <c r="AE71" s="34" t="str" cm="1">
        <f t="array" ref="AE71">IFERROR(INDEX(FORECAST!$D$12:$D$475, MATCH(1, INDEX((ISNUMBER(SEARCH($B71, FORECAST!$A$12:$A$475))) * (INT(FORECAST!$B$12:$B$475) &lt;= AE$69) * (INT(FORECAST!$C$12:$C$475) &gt;= AE$69), 0), 0)), "")</f>
        <v>Tentativo</v>
      </c>
      <c r="AF71" s="34" t="str" cm="1">
        <f t="array" ref="AF71">IFERROR(INDEX(FORECAST!$D$12:$D$475, MATCH(1, INDEX((ISNUMBER(SEARCH($B71, FORECAST!$A$12:$A$475))) * (INT(FORECAST!$B$12:$B$475) &lt;= AF$69) * (INT(FORECAST!$C$12:$C$475) &gt;= AF$69), 0), 0)), "")</f>
        <v>Tentativo</v>
      </c>
      <c r="AG71" s="2"/>
      <c r="AH71" s="9"/>
      <c r="AI71" s="2"/>
      <c r="AJ71" s="45">
        <f>COUNTIF(C71:AF71,"Garantizado")/30</f>
        <v>0.23333333333333334</v>
      </c>
      <c r="AL71" s="30" t="s">
        <v>520</v>
      </c>
    </row>
    <row r="72" spans="1:40" x14ac:dyDescent="0.25">
      <c r="A72" s="71"/>
      <c r="B72" s="26" t="s">
        <v>279</v>
      </c>
      <c r="C72" s="34" t="str" cm="1">
        <f t="array" ref="C72">IFERROR(INDEX(FORECAST!$D$12:$D$475, MATCH(1, INDEX((ISNUMBER(SEARCH($B72, FORECAST!$A$12:$A$475))) * (INT(FORECAST!$B$12:$B$475) &lt;= C$69) * (INT(FORECAST!$C$12:$C$475) &gt;= C$69), 0), 0)), "")</f>
        <v/>
      </c>
      <c r="D72" s="34" t="str" cm="1">
        <f t="array" ref="D72">IFERROR(INDEX(FORECAST!$D$12:$D$475, MATCH(1, INDEX((ISNUMBER(SEARCH($B72, FORECAST!$A$12:$A$475))) * (INT(FORECAST!$B$12:$B$475) &lt;= D$69) * (INT(FORECAST!$C$12:$C$475) &gt;= D$69), 0), 0)), "")</f>
        <v/>
      </c>
      <c r="E72" s="34" t="str" cm="1">
        <f t="array" ref="E72">IFERROR(INDEX(FORECAST!$D$12:$D$475, MATCH(1, INDEX((ISNUMBER(SEARCH($B72, FORECAST!$A$12:$A$475))) * (INT(FORECAST!$B$12:$B$475) &lt;= E$69) * (INT(FORECAST!$C$12:$C$475) &gt;= E$69), 0), 0)), "")</f>
        <v>Garantizado</v>
      </c>
      <c r="F72" s="34" t="str" cm="1">
        <f t="array" ref="F72">IFERROR(INDEX(FORECAST!$D$12:$D$475, MATCH(1, INDEX((ISNUMBER(SEARCH($B72, FORECAST!$A$12:$A$475))) * (INT(FORECAST!$B$12:$B$475) &lt;= F$69) * (INT(FORECAST!$C$12:$C$475) &gt;= F$69), 0), 0)), "")</f>
        <v>Garantizado</v>
      </c>
      <c r="G72" s="34" t="str" cm="1">
        <f t="array" ref="G72">IFERROR(INDEX(FORECAST!$D$12:$D$475, MATCH(1, INDEX((ISNUMBER(SEARCH($B72, FORECAST!$A$12:$A$475))) * (INT(FORECAST!$B$12:$B$475) &lt;= G$69) * (INT(FORECAST!$C$12:$C$475) &gt;= G$69), 0), 0)), "")</f>
        <v>Garantizado</v>
      </c>
      <c r="H72" s="34" t="str" cm="1">
        <f t="array" ref="H72">IFERROR(INDEX(FORECAST!$D$12:$D$475, MATCH(1, INDEX((ISNUMBER(SEARCH($B72, FORECAST!$A$12:$A$475))) * (INT(FORECAST!$B$12:$B$475) &lt;= H$69) * (INT(FORECAST!$C$12:$C$475) &gt;= H$69), 0), 0)), "")</f>
        <v>Garantizado</v>
      </c>
      <c r="I72" s="34" t="str" cm="1">
        <f t="array" ref="I72">IFERROR(INDEX(FORECAST!$D$12:$D$475, MATCH(1, INDEX((ISNUMBER(SEARCH($B72, FORECAST!$A$12:$A$475))) * (INT(FORECAST!$B$12:$B$475) &lt;= I$69) * (INT(FORECAST!$C$12:$C$475) &gt;= I$69), 0), 0)), "")</f>
        <v/>
      </c>
      <c r="J72" s="34" t="str" cm="1">
        <f t="array" ref="J72">IFERROR(INDEX(FORECAST!$D$12:$D$475, MATCH(1, INDEX((ISNUMBER(SEARCH($B72, FORECAST!$A$12:$A$475))) * (INT(FORECAST!$B$12:$B$475) &lt;= J$69) * (INT(FORECAST!$C$12:$C$475) &gt;= J$69), 0), 0)), "")</f>
        <v/>
      </c>
      <c r="K72" s="34" t="str" cm="1">
        <f t="array" ref="K72">IFERROR(INDEX(FORECAST!$D$12:$D$475, MATCH(1, INDEX((ISNUMBER(SEARCH($B72, FORECAST!$A$12:$A$475))) * (INT(FORECAST!$B$12:$B$475) &lt;= K$69) * (INT(FORECAST!$C$12:$C$475) &gt;= K$69), 0), 0)), "")</f>
        <v/>
      </c>
      <c r="L72" s="34" t="str" cm="1">
        <f t="array" ref="L72">IFERROR(INDEX(FORECAST!$D$12:$D$475, MATCH(1, INDEX((ISNUMBER(SEARCH($B72, FORECAST!$A$12:$A$475))) * (INT(FORECAST!$B$12:$B$475) &lt;= L$69) * (INT(FORECAST!$C$12:$C$475) &gt;= L$69), 0), 0)), "")</f>
        <v>Garantizado</v>
      </c>
      <c r="M72" s="34" t="str" cm="1">
        <f t="array" ref="M72">IFERROR(INDEX(FORECAST!$D$12:$D$475, MATCH(1, INDEX((ISNUMBER(SEARCH($B72, FORECAST!$A$12:$A$475))) * (INT(FORECAST!$B$12:$B$475) &lt;= M$69) * (INT(FORECAST!$C$12:$C$475) &gt;= M$69), 0), 0)), "")</f>
        <v>Garantizado</v>
      </c>
      <c r="N72" s="34" t="str" cm="1">
        <f t="array" ref="N72">IFERROR(INDEX(FORECAST!$D$12:$D$475, MATCH(1, INDEX((ISNUMBER(SEARCH($B72, FORECAST!$A$12:$A$475))) * (INT(FORECAST!$B$12:$B$475) &lt;= N$69) * (INT(FORECAST!$C$12:$C$475) &gt;= N$69), 0), 0)), "")</f>
        <v>Garantizado</v>
      </c>
      <c r="O72" s="34" t="str" cm="1">
        <f t="array" ref="O72">IFERROR(INDEX(FORECAST!$D$12:$D$475, MATCH(1, INDEX((ISNUMBER(SEARCH($B72, FORECAST!$A$12:$A$475))) * (INT(FORECAST!$B$12:$B$475) &lt;= O$69) * (INT(FORECAST!$C$12:$C$475) &gt;= O$69), 0), 0)), "")</f>
        <v>Garantizado</v>
      </c>
      <c r="P72" s="34" t="str" cm="1">
        <f t="array" ref="P72">IFERROR(INDEX(FORECAST!$D$12:$D$475, MATCH(1, INDEX((ISNUMBER(SEARCH($B72, FORECAST!$A$12:$A$475))) * (INT(FORECAST!$B$12:$B$475) &lt;= P$69) * (INT(FORECAST!$C$12:$C$475) &gt;= P$69), 0), 0)), "")</f>
        <v/>
      </c>
      <c r="Q72" s="34" t="str" cm="1">
        <f t="array" ref="Q72">IFERROR(INDEX(FORECAST!$D$12:$D$475, MATCH(1, INDEX((ISNUMBER(SEARCH($B72, FORECAST!$A$12:$A$475))) * (INT(FORECAST!$B$12:$B$475) &lt;= Q$69) * (INT(FORECAST!$C$12:$C$475) &gt;= Q$69), 0), 0)), "")</f>
        <v/>
      </c>
      <c r="R72" s="34" t="str" cm="1">
        <f t="array" ref="R72">IFERROR(INDEX(FORECAST!$D$12:$D$475, MATCH(1, INDEX((ISNUMBER(SEARCH($B72, FORECAST!$A$12:$A$475))) * (INT(FORECAST!$B$12:$B$475) &lt;= R$69) * (INT(FORECAST!$C$12:$C$475) &gt;= R$69), 0), 0)), "")</f>
        <v/>
      </c>
      <c r="S72" s="34" t="str" cm="1">
        <f t="array" ref="S72">IFERROR(INDEX(FORECAST!$D$12:$D$475, MATCH(1, INDEX((ISNUMBER(SEARCH($B72, FORECAST!$A$12:$A$475))) * (INT(FORECAST!$B$12:$B$475) &lt;= S$69) * (INT(FORECAST!$C$12:$C$475) &gt;= S$69), 0), 0)), "")</f>
        <v/>
      </c>
      <c r="T72" s="34" t="str" cm="1">
        <f t="array" ref="T72">IFERROR(INDEX(FORECAST!$D$12:$D$475, MATCH(1, INDEX((ISNUMBER(SEARCH($B72, FORECAST!$A$12:$A$475))) * (INT(FORECAST!$B$12:$B$475) &lt;= T$69) * (INT(FORECAST!$C$12:$C$475) &gt;= T$69), 0), 0)), "")</f>
        <v/>
      </c>
      <c r="U72" s="34" t="str" cm="1">
        <f t="array" ref="U72">IFERROR(INDEX(FORECAST!$D$12:$D$475, MATCH(1, INDEX((ISNUMBER(SEARCH($B72, FORECAST!$A$12:$A$475))) * (INT(FORECAST!$B$12:$B$475) &lt;= U$69) * (INT(FORECAST!$C$12:$C$475) &gt;= U$69), 0), 0)), "")</f>
        <v/>
      </c>
      <c r="V72" s="34" t="str" cm="1">
        <f t="array" ref="V72">IFERROR(INDEX(FORECAST!$D$12:$D$475, MATCH(1, INDEX((ISNUMBER(SEARCH($B72, FORECAST!$A$12:$A$475))) * (INT(FORECAST!$B$12:$B$475) &lt;= V$69) * (INT(FORECAST!$C$12:$C$475) &gt;= V$69), 0), 0)), "")</f>
        <v/>
      </c>
      <c r="W72" s="34" t="str" cm="1">
        <f t="array" ref="W72">IFERROR(INDEX(FORECAST!$D$12:$D$475, MATCH(1, INDEX((ISNUMBER(SEARCH($B72, FORECAST!$A$12:$A$475))) * (INT(FORECAST!$B$12:$B$475) &lt;= W$69) * (INT(FORECAST!$C$12:$C$475) &gt;= W$69), 0), 0)), "")</f>
        <v/>
      </c>
      <c r="X72" s="34" t="str" cm="1">
        <f t="array" ref="X72">IFERROR(INDEX(FORECAST!$D$12:$D$475, MATCH(1, INDEX((ISNUMBER(SEARCH($B72, FORECAST!$A$12:$A$475))) * (INT(FORECAST!$B$12:$B$475) &lt;= X$69) * (INT(FORECAST!$C$12:$C$475) &gt;= X$69), 0), 0)), "")</f>
        <v/>
      </c>
      <c r="Y72" s="34" t="str" cm="1">
        <f t="array" ref="Y72">IFERROR(INDEX(FORECAST!$D$12:$D$475, MATCH(1, INDEX((ISNUMBER(SEARCH($B72, FORECAST!$A$12:$A$475))) * (INT(FORECAST!$B$12:$B$475) &lt;= Y$69) * (INT(FORECAST!$C$12:$C$475) &gt;= Y$69), 0), 0)), "")</f>
        <v/>
      </c>
      <c r="Z72" s="34" t="str" cm="1">
        <f t="array" ref="Z72">IFERROR(INDEX(FORECAST!$D$12:$D$475, MATCH(1, INDEX((ISNUMBER(SEARCH($B72, FORECAST!$A$12:$A$475))) * (INT(FORECAST!$B$12:$B$475) &lt;= Z$69) * (INT(FORECAST!$C$12:$C$475) &gt;= Z$69), 0), 0)), "")</f>
        <v/>
      </c>
      <c r="AA72" s="34" t="str" cm="1">
        <f t="array" ref="AA72">IFERROR(INDEX(FORECAST!$D$12:$D$475, MATCH(1, INDEX((ISNUMBER(SEARCH($B72, FORECAST!$A$12:$A$475))) * (INT(FORECAST!$B$12:$B$475) &lt;= AA$69) * (INT(FORECAST!$C$12:$C$475) &gt;= AA$69), 0), 0)), "")</f>
        <v/>
      </c>
      <c r="AB72" s="34" t="str" cm="1">
        <f t="array" ref="AB72">IFERROR(INDEX(FORECAST!$D$12:$D$475, MATCH(1, INDEX((ISNUMBER(SEARCH($B72, FORECAST!$A$12:$A$475))) * (INT(FORECAST!$B$12:$B$475) &lt;= AB$69) * (INT(FORECAST!$C$12:$C$475) &gt;= AB$69), 0), 0)), "")</f>
        <v/>
      </c>
      <c r="AC72" s="34" t="str" cm="1">
        <f t="array" ref="AC72">IFERROR(INDEX(FORECAST!$D$12:$D$475, MATCH(1, INDEX((ISNUMBER(SEARCH($B72, FORECAST!$A$12:$A$475))) * (INT(FORECAST!$B$12:$B$475) &lt;= AC$69) * (INT(FORECAST!$C$12:$C$475) &gt;= AC$69), 0), 0)), "")</f>
        <v/>
      </c>
      <c r="AD72" s="34" t="str" cm="1">
        <f t="array" ref="AD72">IFERROR(INDEX(FORECAST!$D$12:$D$475, MATCH(1, INDEX((ISNUMBER(SEARCH($B72, FORECAST!$A$12:$A$475))) * (INT(FORECAST!$B$12:$B$475) &lt;= AD$69) * (INT(FORECAST!$C$12:$C$475) &gt;= AD$69), 0), 0)), "")</f>
        <v/>
      </c>
      <c r="AE72" s="34" t="str" cm="1">
        <f t="array" ref="AE72">IFERROR(INDEX(FORECAST!$D$12:$D$475, MATCH(1, INDEX((ISNUMBER(SEARCH($B72, FORECAST!$A$12:$A$475))) * (INT(FORECAST!$B$12:$B$475) &lt;= AE$69) * (INT(FORECAST!$C$12:$C$475) &gt;= AE$69), 0), 0)), "")</f>
        <v/>
      </c>
      <c r="AF72" s="34" t="str" cm="1">
        <f t="array" ref="AF72">IFERROR(INDEX(FORECAST!$D$12:$D$475, MATCH(1, INDEX((ISNUMBER(SEARCH($B72, FORECAST!$A$12:$A$475))) * (INT(FORECAST!$B$12:$B$475) &lt;= AF$69) * (INT(FORECAST!$C$12:$C$475) &gt;= AF$69), 0), 0)), "")</f>
        <v/>
      </c>
      <c r="AG72" s="9"/>
      <c r="AH72" s="9"/>
      <c r="AI72" s="2"/>
      <c r="AJ72" s="45">
        <f>COUNTIF(C72:AF72,"Garantizado")/30</f>
        <v>0.26666666666666666</v>
      </c>
      <c r="AL72" s="45">
        <f>COUNTIF('PLANNING 2026'!C70:AF76,"Garantizado")/COUNTA('PLANNING 2026'!C70:AF76)</f>
        <v>0.20476190476190476</v>
      </c>
    </row>
    <row r="73" spans="1:40" x14ac:dyDescent="0.25">
      <c r="A73" s="71"/>
      <c r="B73" s="26" t="s">
        <v>521</v>
      </c>
      <c r="C73" s="34" t="str" cm="1">
        <f t="array" ref="C73">IFERROR(INDEX(FORECAST!$D$12:$D$475, MATCH(1, INDEX((ISNUMBER(SEARCH($B73, FORECAST!$A$12:$A$475))) * (INT(FORECAST!$B$12:$B$475) &lt;= C$69) * (INT(FORECAST!$C$12:$C$475) &gt;= C$69), 0), 0)), "")</f>
        <v/>
      </c>
      <c r="D73" s="34" t="str" cm="1">
        <f t="array" ref="D73">IFERROR(INDEX(FORECAST!$D$12:$D$475, MATCH(1, INDEX((ISNUMBER(SEARCH($B73, FORECAST!$A$12:$A$475))) * (INT(FORECAST!$B$12:$B$475) &lt;= D$69) * (INT(FORECAST!$C$12:$C$475) &gt;= D$69), 0), 0)), "")</f>
        <v/>
      </c>
      <c r="E73" s="34" t="str" cm="1">
        <f t="array" ref="E73">IFERROR(INDEX(FORECAST!$D$12:$D$475, MATCH(1, INDEX((ISNUMBER(SEARCH($B73, FORECAST!$A$12:$A$475))) * (INT(FORECAST!$B$12:$B$475) &lt;= E$69) * (INT(FORECAST!$C$12:$C$475) &gt;= E$69), 0), 0)), "")</f>
        <v>Garantizado</v>
      </c>
      <c r="F73" s="34" t="str" cm="1">
        <f t="array" ref="F73">IFERROR(INDEX(FORECAST!$D$12:$D$475, MATCH(1, INDEX((ISNUMBER(SEARCH($B73, FORECAST!$A$12:$A$475))) * (INT(FORECAST!$B$12:$B$475) &lt;= F$69) * (INT(FORECAST!$C$12:$C$475) &gt;= F$69), 0), 0)), "")</f>
        <v>Garantizado</v>
      </c>
      <c r="G73" s="34" t="str" cm="1">
        <f t="array" ref="G73">IFERROR(INDEX(FORECAST!$D$12:$D$475, MATCH(1, INDEX((ISNUMBER(SEARCH($B73, FORECAST!$A$12:$A$475))) * (INT(FORECAST!$B$12:$B$475) &lt;= G$69) * (INT(FORECAST!$C$12:$C$475) &gt;= G$69), 0), 0)), "")</f>
        <v>Garantizado</v>
      </c>
      <c r="H73" s="34" t="str" cm="1">
        <f t="array" ref="H73">IFERROR(INDEX(FORECAST!$D$12:$D$475, MATCH(1, INDEX((ISNUMBER(SEARCH($B73, FORECAST!$A$12:$A$475))) * (INT(FORECAST!$B$12:$B$475) &lt;= H$69) * (INT(FORECAST!$C$12:$C$475) &gt;= H$69), 0), 0)), "")</f>
        <v>Garantizado</v>
      </c>
      <c r="I73" s="34" t="str" cm="1">
        <f t="array" ref="I73">IFERROR(INDEX(FORECAST!$D$12:$D$475, MATCH(1, INDEX((ISNUMBER(SEARCH($B73, FORECAST!$A$12:$A$475))) * (INT(FORECAST!$B$12:$B$475) &lt;= I$69) * (INT(FORECAST!$C$12:$C$475) &gt;= I$69), 0), 0)), "")</f>
        <v/>
      </c>
      <c r="J73" s="34" t="str" cm="1">
        <f t="array" ref="J73">IFERROR(INDEX(FORECAST!$D$12:$D$475, MATCH(1, INDEX((ISNUMBER(SEARCH($B73, FORECAST!$A$12:$A$475))) * (INT(FORECAST!$B$12:$B$475) &lt;= J$69) * (INT(FORECAST!$C$12:$C$475) &gt;= J$69), 0), 0)), "")</f>
        <v/>
      </c>
      <c r="K73" s="34" t="str" cm="1">
        <f t="array" ref="K73">IFERROR(INDEX(FORECAST!$D$12:$D$475, MATCH(1, INDEX((ISNUMBER(SEARCH($B73, FORECAST!$A$12:$A$475))) * (INT(FORECAST!$B$12:$B$475) &lt;= K$69) * (INT(FORECAST!$C$12:$C$475) &gt;= K$69), 0), 0)), "")</f>
        <v/>
      </c>
      <c r="L73" s="34" t="str" cm="1">
        <f t="array" ref="L73">IFERROR(INDEX(FORECAST!$D$12:$D$475, MATCH(1, INDEX((ISNUMBER(SEARCH($B73, FORECAST!$A$12:$A$475))) * (INT(FORECAST!$B$12:$B$475) &lt;= L$69) * (INT(FORECAST!$C$12:$C$475) &gt;= L$69), 0), 0)), "")</f>
        <v/>
      </c>
      <c r="M73" s="34" t="str" cm="1">
        <f t="array" ref="M73">IFERROR(INDEX(FORECAST!$D$12:$D$475, MATCH(1, INDEX((ISNUMBER(SEARCH($B73, FORECAST!$A$12:$A$475))) * (INT(FORECAST!$B$12:$B$475) &lt;= M$69) * (INT(FORECAST!$C$12:$C$475) &gt;= M$69), 0), 0)), "")</f>
        <v/>
      </c>
      <c r="N73" s="34" t="str" cm="1">
        <f t="array" ref="N73">IFERROR(INDEX(FORECAST!$D$12:$D$475, MATCH(1, INDEX((ISNUMBER(SEARCH($B73, FORECAST!$A$12:$A$475))) * (INT(FORECAST!$B$12:$B$475) &lt;= N$69) * (INT(FORECAST!$C$12:$C$475) &gt;= N$69), 0), 0)), "")</f>
        <v/>
      </c>
      <c r="O73" s="34" t="str" cm="1">
        <f t="array" ref="O73">IFERROR(INDEX(FORECAST!$D$12:$D$475, MATCH(1, INDEX((ISNUMBER(SEARCH($B73, FORECAST!$A$12:$A$475))) * (INT(FORECAST!$B$12:$B$475) &lt;= O$69) * (INT(FORECAST!$C$12:$C$475) &gt;= O$69), 0), 0)), "")</f>
        <v>Tentativo</v>
      </c>
      <c r="P73" s="34" t="str" cm="1">
        <f t="array" ref="P73">IFERROR(INDEX(FORECAST!$D$12:$D$475, MATCH(1, INDEX((ISNUMBER(SEARCH($B73, FORECAST!$A$12:$A$475))) * (INT(FORECAST!$B$12:$B$475) &lt;= P$69) * (INT(FORECAST!$C$12:$C$475) &gt;= P$69), 0), 0)), "")</f>
        <v/>
      </c>
      <c r="Q73" s="34" t="str" cm="1">
        <f t="array" ref="Q73">IFERROR(INDEX(FORECAST!$D$12:$D$475, MATCH(1, INDEX((ISNUMBER(SEARCH($B73, FORECAST!$A$12:$A$475))) * (INT(FORECAST!$B$12:$B$475) &lt;= Q$69) * (INT(FORECAST!$C$12:$C$475) &gt;= Q$69), 0), 0)), "")</f>
        <v/>
      </c>
      <c r="R73" s="34" t="str" cm="1">
        <f t="array" ref="R73">IFERROR(INDEX(FORECAST!$D$12:$D$475, MATCH(1, INDEX((ISNUMBER(SEARCH($B73, FORECAST!$A$12:$A$475))) * (INT(FORECAST!$B$12:$B$475) &lt;= R$69) * (INT(FORECAST!$C$12:$C$475) &gt;= R$69), 0), 0)), "")</f>
        <v>Garantizado</v>
      </c>
      <c r="S73" s="34" t="str" cm="1">
        <f t="array" ref="S73">IFERROR(INDEX(FORECAST!$D$12:$D$475, MATCH(1, INDEX((ISNUMBER(SEARCH($B73, FORECAST!$A$12:$A$475))) * (INT(FORECAST!$B$12:$B$475) &lt;= S$69) * (INT(FORECAST!$C$12:$C$475) &gt;= S$69), 0), 0)), "")</f>
        <v>Garantizado</v>
      </c>
      <c r="T73" s="34" t="str" cm="1">
        <f t="array" ref="T73">IFERROR(INDEX(FORECAST!$D$12:$D$475, MATCH(1, INDEX((ISNUMBER(SEARCH($B73, FORECAST!$A$12:$A$475))) * (INT(FORECAST!$B$12:$B$475) &lt;= T$69) * (INT(FORECAST!$C$12:$C$475) &gt;= T$69), 0), 0)), "")</f>
        <v/>
      </c>
      <c r="U73" s="34" t="str" cm="1">
        <f t="array" ref="U73">IFERROR(INDEX(FORECAST!$D$12:$D$475, MATCH(1, INDEX((ISNUMBER(SEARCH($B73, FORECAST!$A$12:$A$475))) * (INT(FORECAST!$B$12:$B$475) &lt;= U$69) * (INT(FORECAST!$C$12:$C$475) &gt;= U$69), 0), 0)), "")</f>
        <v/>
      </c>
      <c r="V73" s="34" t="str" cm="1">
        <f t="array" ref="V73">IFERROR(INDEX(FORECAST!$D$12:$D$475, MATCH(1, INDEX((ISNUMBER(SEARCH($B73, FORECAST!$A$12:$A$475))) * (INT(FORECAST!$B$12:$B$475) &lt;= V$69) * (INT(FORECAST!$C$12:$C$475) &gt;= V$69), 0), 0)), "")</f>
        <v/>
      </c>
      <c r="W73" s="34" t="str" cm="1">
        <f t="array" ref="W73">IFERROR(INDEX(FORECAST!$D$12:$D$475, MATCH(1, INDEX((ISNUMBER(SEARCH($B73, FORECAST!$A$12:$A$475))) * (INT(FORECAST!$B$12:$B$475) &lt;= W$69) * (INT(FORECAST!$C$12:$C$475) &gt;= W$69), 0), 0)), "")</f>
        <v/>
      </c>
      <c r="X73" s="34" t="str" cm="1">
        <f t="array" ref="X73">IFERROR(INDEX(FORECAST!$D$12:$D$475, MATCH(1, INDEX((ISNUMBER(SEARCH($B73, FORECAST!$A$12:$A$475))) * (INT(FORECAST!$B$12:$B$475) &lt;= X$69) * (INT(FORECAST!$C$12:$C$475) &gt;= X$69), 0), 0)), "")</f>
        <v/>
      </c>
      <c r="Y73" s="34" t="str" cm="1">
        <f t="array" ref="Y73">IFERROR(INDEX(FORECAST!$D$12:$D$475, MATCH(1, INDEX((ISNUMBER(SEARCH($B73, FORECAST!$A$12:$A$475))) * (INT(FORECAST!$B$12:$B$475) &lt;= Y$69) * (INT(FORECAST!$C$12:$C$475) &gt;= Y$69), 0), 0)), "")</f>
        <v/>
      </c>
      <c r="Z73" s="34" t="str" cm="1">
        <f t="array" ref="Z73">IFERROR(INDEX(FORECAST!$D$12:$D$475, MATCH(1, INDEX((ISNUMBER(SEARCH($B73, FORECAST!$A$12:$A$475))) * (INT(FORECAST!$B$12:$B$475) &lt;= Z$69) * (INT(FORECAST!$C$12:$C$475) &gt;= Z$69), 0), 0)), "")</f>
        <v/>
      </c>
      <c r="AA73" s="34" t="str" cm="1">
        <f t="array" ref="AA73">IFERROR(INDEX(FORECAST!$D$12:$D$475, MATCH(1, INDEX((ISNUMBER(SEARCH($B73, FORECAST!$A$12:$A$475))) * (INT(FORECAST!$B$12:$B$475) &lt;= AA$69) * (INT(FORECAST!$C$12:$C$475) &gt;= AA$69), 0), 0)), "")</f>
        <v/>
      </c>
      <c r="AB73" s="34" t="str" cm="1">
        <f t="array" ref="AB73">IFERROR(INDEX(FORECAST!$D$12:$D$475, MATCH(1, INDEX((ISNUMBER(SEARCH($B73, FORECAST!$A$12:$A$475))) * (INT(FORECAST!$B$12:$B$475) &lt;= AB$69) * (INT(FORECAST!$C$12:$C$475) &gt;= AB$69), 0), 0)), "")</f>
        <v/>
      </c>
      <c r="AC73" s="34" t="str" cm="1">
        <f t="array" ref="AC73">IFERROR(INDEX(FORECAST!$D$12:$D$475, MATCH(1, INDEX((ISNUMBER(SEARCH($B73, FORECAST!$A$12:$A$475))) * (INT(FORECAST!$B$12:$B$475) &lt;= AC$69) * (INT(FORECAST!$C$12:$C$475) &gt;= AC$69), 0), 0)), "")</f>
        <v/>
      </c>
      <c r="AD73" s="34" t="str" cm="1">
        <f t="array" ref="AD73">IFERROR(INDEX(FORECAST!$D$12:$D$475, MATCH(1, INDEX((ISNUMBER(SEARCH($B73, FORECAST!$A$12:$A$475))) * (INT(FORECAST!$B$12:$B$475) &lt;= AD$69) * (INT(FORECAST!$C$12:$C$475) &gt;= AD$69), 0), 0)), "")</f>
        <v/>
      </c>
      <c r="AE73" s="34" t="str" cm="1">
        <f t="array" ref="AE73">IFERROR(INDEX(FORECAST!$D$12:$D$475, MATCH(1, INDEX((ISNUMBER(SEARCH($B73, FORECAST!$A$12:$A$475))) * (INT(FORECAST!$B$12:$B$475) &lt;= AE$69) * (INT(FORECAST!$C$12:$C$475) &gt;= AE$69), 0), 0)), "")</f>
        <v/>
      </c>
      <c r="AF73" s="34" t="str" cm="1">
        <f t="array" ref="AF73">IFERROR(INDEX(FORECAST!$D$12:$D$475, MATCH(1, INDEX((ISNUMBER(SEARCH($B73, FORECAST!$A$12:$A$475))) * (INT(FORECAST!$B$12:$B$475) &lt;= AF$69) * (INT(FORECAST!$C$12:$C$475) &gt;= AF$69), 0), 0)), "")</f>
        <v/>
      </c>
      <c r="AG73" s="9"/>
      <c r="AH73" s="9"/>
      <c r="AI73" s="2"/>
      <c r="AJ73" s="45">
        <f t="shared" ref="AJ73:AJ77" si="5">COUNTIF(C73:AF73,"Garantizado")/30</f>
        <v>0.2</v>
      </c>
    </row>
    <row r="74" spans="1:40" x14ac:dyDescent="0.25">
      <c r="A74" s="71"/>
      <c r="B74" s="26" t="s">
        <v>522</v>
      </c>
      <c r="C74" s="34" t="str" cm="1">
        <f t="array" ref="C74">IFERROR(INDEX(FORECAST!$D$12:$D$475, MATCH(1, INDEX((ISNUMBER(SEARCH($B74, FORECAST!$A$12:$A$475))) * (INT(FORECAST!$B$12:$B$475) &lt;= C$69) * (INT(FORECAST!$C$12:$C$475) &gt;= C$69), 0), 0)), "")</f>
        <v/>
      </c>
      <c r="D74" s="34" t="str" cm="1">
        <f t="array" ref="D74">IFERROR(INDEX(FORECAST!$D$12:$D$475, MATCH(1, INDEX((ISNUMBER(SEARCH($B74, FORECAST!$A$12:$A$475))) * (INT(FORECAST!$B$12:$B$475) &lt;= D$69) * (INT(FORECAST!$C$12:$C$475) &gt;= D$69), 0), 0)), "")</f>
        <v/>
      </c>
      <c r="E74" s="34" t="str" cm="1">
        <f t="array" ref="E74">IFERROR(INDEX(FORECAST!$D$12:$D$475, MATCH(1, INDEX((ISNUMBER(SEARCH($B74, FORECAST!$A$12:$A$475))) * (INT(FORECAST!$B$12:$B$475) &lt;= E$69) * (INT(FORECAST!$C$12:$C$475) &gt;= E$69), 0), 0)), "")</f>
        <v>Garantizado</v>
      </c>
      <c r="F74" s="34" t="str" cm="1">
        <f t="array" ref="F74">IFERROR(INDEX(FORECAST!$D$12:$D$475, MATCH(1, INDEX((ISNUMBER(SEARCH($B74, FORECAST!$A$12:$A$475))) * (INT(FORECAST!$B$12:$B$475) &lt;= F$69) * (INT(FORECAST!$C$12:$C$475) &gt;= F$69), 0), 0)), "")</f>
        <v>Garantizado</v>
      </c>
      <c r="G74" s="34" t="str" cm="1">
        <f t="array" ref="G74">IFERROR(INDEX(FORECAST!$D$12:$D$475, MATCH(1, INDEX((ISNUMBER(SEARCH($B74, FORECAST!$A$12:$A$475))) * (INT(FORECAST!$B$12:$B$475) &lt;= G$69) * (INT(FORECAST!$C$12:$C$475) &gt;= G$69), 0), 0)), "")</f>
        <v>Garantizado</v>
      </c>
      <c r="H74" s="34" t="str" cm="1">
        <f t="array" ref="H74">IFERROR(INDEX(FORECAST!$D$12:$D$475, MATCH(1, INDEX((ISNUMBER(SEARCH($B74, FORECAST!$A$12:$A$475))) * (INT(FORECAST!$B$12:$B$475) &lt;= H$69) * (INT(FORECAST!$C$12:$C$475) &gt;= H$69), 0), 0)), "")</f>
        <v>Garantizado</v>
      </c>
      <c r="I74" s="34" t="str" cm="1">
        <f t="array" ref="I74">IFERROR(INDEX(FORECAST!$D$12:$D$475, MATCH(1, INDEX((ISNUMBER(SEARCH($B74, FORECAST!$A$12:$A$475))) * (INT(FORECAST!$B$12:$B$475) &lt;= I$69) * (INT(FORECAST!$C$12:$C$475) &gt;= I$69), 0), 0)), "")</f>
        <v/>
      </c>
      <c r="J74" s="34" t="str" cm="1">
        <f t="array" ref="J74">IFERROR(INDEX(FORECAST!$D$12:$D$475, MATCH(1, INDEX((ISNUMBER(SEARCH($B74, FORECAST!$A$12:$A$475))) * (INT(FORECAST!$B$12:$B$475) &lt;= J$69) * (INT(FORECAST!$C$12:$C$475) &gt;= J$69), 0), 0)), "")</f>
        <v/>
      </c>
      <c r="K74" s="34" t="str" cm="1">
        <f t="array" ref="K74">IFERROR(INDEX(FORECAST!$D$12:$D$475, MATCH(1, INDEX((ISNUMBER(SEARCH($B74, FORECAST!$A$12:$A$475))) * (INT(FORECAST!$B$12:$B$475) &lt;= K$69) * (INT(FORECAST!$C$12:$C$475) &gt;= K$69), 0), 0)), "")</f>
        <v/>
      </c>
      <c r="L74" s="34" t="str" cm="1">
        <f t="array" ref="L74">IFERROR(INDEX(FORECAST!$D$12:$D$475, MATCH(1, INDEX((ISNUMBER(SEARCH($B74, FORECAST!$A$12:$A$475))) * (INT(FORECAST!$B$12:$B$475) &lt;= L$69) * (INT(FORECAST!$C$12:$C$475) &gt;= L$69), 0), 0)), "")</f>
        <v/>
      </c>
      <c r="M74" s="34" t="str" cm="1">
        <f t="array" ref="M74">IFERROR(INDEX(FORECAST!$D$12:$D$475, MATCH(1, INDEX((ISNUMBER(SEARCH($B74, FORECAST!$A$12:$A$475))) * (INT(FORECAST!$B$12:$B$475) &lt;= M$69) * (INT(FORECAST!$C$12:$C$475) &gt;= M$69), 0), 0)), "")</f>
        <v/>
      </c>
      <c r="N74" s="34" t="str" cm="1">
        <f t="array" ref="N74">IFERROR(INDEX(FORECAST!$D$12:$D$475, MATCH(1, INDEX((ISNUMBER(SEARCH($B74, FORECAST!$A$12:$A$475))) * (INT(FORECAST!$B$12:$B$475) &lt;= N$69) * (INT(FORECAST!$C$12:$C$475) &gt;= N$69), 0), 0)), "")</f>
        <v/>
      </c>
      <c r="O74" s="34" t="str" cm="1">
        <f t="array" ref="O74">IFERROR(INDEX(FORECAST!$D$12:$D$475, MATCH(1, INDEX((ISNUMBER(SEARCH($B74, FORECAST!$A$12:$A$475))) * (INT(FORECAST!$B$12:$B$475) &lt;= O$69) * (INT(FORECAST!$C$12:$C$475) &gt;= O$69), 0), 0)), "")</f>
        <v/>
      </c>
      <c r="P74" s="34" t="str" cm="1">
        <f t="array" ref="P74">IFERROR(INDEX(FORECAST!$D$12:$D$475, MATCH(1, INDEX((ISNUMBER(SEARCH($B74, FORECAST!$A$12:$A$475))) * (INT(FORECAST!$B$12:$B$475) &lt;= P$69) * (INT(FORECAST!$C$12:$C$475) &gt;= P$69), 0), 0)), "")</f>
        <v/>
      </c>
      <c r="Q74" s="34" t="str" cm="1">
        <f t="array" ref="Q74">IFERROR(INDEX(FORECAST!$D$12:$D$475, MATCH(1, INDEX((ISNUMBER(SEARCH($B74, FORECAST!$A$12:$A$475))) * (INT(FORECAST!$B$12:$B$475) &lt;= Q$69) * (INT(FORECAST!$C$12:$C$475) &gt;= Q$69), 0), 0)), "")</f>
        <v/>
      </c>
      <c r="R74" s="34" t="str" cm="1">
        <f t="array" ref="R74">IFERROR(INDEX(FORECAST!$D$12:$D$475, MATCH(1, INDEX((ISNUMBER(SEARCH($B74, FORECAST!$A$12:$A$475))) * (INT(FORECAST!$B$12:$B$475) &lt;= R$69) * (INT(FORECAST!$C$12:$C$475) &gt;= R$69), 0), 0)), "")</f>
        <v/>
      </c>
      <c r="S74" s="34" t="str" cm="1">
        <f t="array" ref="S74">IFERROR(INDEX(FORECAST!$D$12:$D$475, MATCH(1, INDEX((ISNUMBER(SEARCH($B74, FORECAST!$A$12:$A$475))) * (INT(FORECAST!$B$12:$B$475) &lt;= S$69) * (INT(FORECAST!$C$12:$C$475) &gt;= S$69), 0), 0)), "")</f>
        <v/>
      </c>
      <c r="T74" s="34" t="str" cm="1">
        <f t="array" ref="T74">IFERROR(INDEX(FORECAST!$D$12:$D$475, MATCH(1, INDEX((ISNUMBER(SEARCH($B74, FORECAST!$A$12:$A$475))) * (INT(FORECAST!$B$12:$B$475) &lt;= T$69) * (INT(FORECAST!$C$12:$C$475) &gt;= T$69), 0), 0)), "")</f>
        <v/>
      </c>
      <c r="U74" s="34" t="str" cm="1">
        <f t="array" ref="U74">IFERROR(INDEX(FORECAST!$D$12:$D$475, MATCH(1, INDEX((ISNUMBER(SEARCH($B74, FORECAST!$A$12:$A$475))) * (INT(FORECAST!$B$12:$B$475) &lt;= U$69) * (INT(FORECAST!$C$12:$C$475) &gt;= U$69), 0), 0)), "")</f>
        <v/>
      </c>
      <c r="V74" s="34" t="str" cm="1">
        <f t="array" ref="V74">IFERROR(INDEX(FORECAST!$D$12:$D$475, MATCH(1, INDEX((ISNUMBER(SEARCH($B74, FORECAST!$A$12:$A$475))) * (INT(FORECAST!$B$12:$B$475) &lt;= V$69) * (INT(FORECAST!$C$12:$C$475) &gt;= V$69), 0), 0)), "")</f>
        <v/>
      </c>
      <c r="W74" s="34" t="str" cm="1">
        <f t="array" ref="W74">IFERROR(INDEX(FORECAST!$D$12:$D$475, MATCH(1, INDEX((ISNUMBER(SEARCH($B74, FORECAST!$A$12:$A$475))) * (INT(FORECAST!$B$12:$B$475) &lt;= W$69) * (INT(FORECAST!$C$12:$C$475) &gt;= W$69), 0), 0)), "")</f>
        <v/>
      </c>
      <c r="X74" s="34" t="str" cm="1">
        <f t="array" ref="X74">IFERROR(INDEX(FORECAST!$D$12:$D$475, MATCH(1, INDEX((ISNUMBER(SEARCH($B74, FORECAST!$A$12:$A$475))) * (INT(FORECAST!$B$12:$B$475) &lt;= X$69) * (INT(FORECAST!$C$12:$C$475) &gt;= X$69), 0), 0)), "")</f>
        <v/>
      </c>
      <c r="Y74" s="34" t="str" cm="1">
        <f t="array" ref="Y74">IFERROR(INDEX(FORECAST!$D$12:$D$475, MATCH(1, INDEX((ISNUMBER(SEARCH($B74, FORECAST!$A$12:$A$475))) * (INT(FORECAST!$B$12:$B$475) &lt;= Y$69) * (INT(FORECAST!$C$12:$C$475) &gt;= Y$69), 0), 0)), "")</f>
        <v/>
      </c>
      <c r="Z74" s="34" t="str" cm="1">
        <f t="array" ref="Z74">IFERROR(INDEX(FORECAST!$D$12:$D$475, MATCH(1, INDEX((ISNUMBER(SEARCH($B74, FORECAST!$A$12:$A$475))) * (INT(FORECAST!$B$12:$B$475) &lt;= Z$69) * (INT(FORECAST!$C$12:$C$475) &gt;= Z$69), 0), 0)), "")</f>
        <v/>
      </c>
      <c r="AA74" s="34" t="str" cm="1">
        <f t="array" ref="AA74">IFERROR(INDEX(FORECAST!$D$12:$D$475, MATCH(1, INDEX((ISNUMBER(SEARCH($B74, FORECAST!$A$12:$A$475))) * (INT(FORECAST!$B$12:$B$475) &lt;= AA$69) * (INT(FORECAST!$C$12:$C$475) &gt;= AA$69), 0), 0)), "")</f>
        <v/>
      </c>
      <c r="AB74" s="34" t="str" cm="1">
        <f t="array" ref="AB74">IFERROR(INDEX(FORECAST!$D$12:$D$475, MATCH(1, INDEX((ISNUMBER(SEARCH($B74, FORECAST!$A$12:$A$475))) * (INT(FORECAST!$B$12:$B$475) &lt;= AB$69) * (INT(FORECAST!$C$12:$C$475) &gt;= AB$69), 0), 0)), "")</f>
        <v>Presupuesto</v>
      </c>
      <c r="AC74" s="34" t="str" cm="1">
        <f t="array" ref="AC74">IFERROR(INDEX(FORECAST!$D$12:$D$475, MATCH(1, INDEX((ISNUMBER(SEARCH($B74, FORECAST!$A$12:$A$475))) * (INT(FORECAST!$B$12:$B$475) &lt;= AC$69) * (INT(FORECAST!$C$12:$C$475) &gt;= AC$69), 0), 0)), "")</f>
        <v>Presupuesto</v>
      </c>
      <c r="AD74" s="34" t="str" cm="1">
        <f t="array" ref="AD74">IFERROR(INDEX(FORECAST!$D$12:$D$475, MATCH(1, INDEX((ISNUMBER(SEARCH($B74, FORECAST!$A$12:$A$475))) * (INT(FORECAST!$B$12:$B$475) &lt;= AD$69) * (INT(FORECAST!$C$12:$C$475) &gt;= AD$69), 0), 0)), "")</f>
        <v/>
      </c>
      <c r="AE74" s="34" t="str" cm="1">
        <f t="array" ref="AE74">IFERROR(INDEX(FORECAST!$D$12:$D$475, MATCH(1, INDEX((ISNUMBER(SEARCH($B74, FORECAST!$A$12:$A$475))) * (INT(FORECAST!$B$12:$B$475) &lt;= AE$69) * (INT(FORECAST!$C$12:$C$475) &gt;= AE$69), 0), 0)), "")</f>
        <v/>
      </c>
      <c r="AF74" s="34" t="str" cm="1">
        <f t="array" ref="AF74">IFERROR(INDEX(FORECAST!$D$12:$D$475, MATCH(1, INDEX((ISNUMBER(SEARCH($B74, FORECAST!$A$12:$A$475))) * (INT(FORECAST!$B$12:$B$475) &lt;= AF$69) * (INT(FORECAST!$C$12:$C$475) &gt;= AF$69), 0), 0)), "")</f>
        <v/>
      </c>
      <c r="AG74" s="9"/>
      <c r="AH74" s="2"/>
      <c r="AI74" s="2"/>
      <c r="AJ74" s="45">
        <f t="shared" si="5"/>
        <v>0.13333333333333333</v>
      </c>
    </row>
    <row r="75" spans="1:40" x14ac:dyDescent="0.25">
      <c r="A75" s="71"/>
      <c r="B75" s="26" t="s">
        <v>523</v>
      </c>
      <c r="C75" s="34" t="str" cm="1">
        <f t="array" ref="C75">IFERROR(INDEX(FORECAST!$D$12:$D$475, MATCH(1, INDEX((ISNUMBER(SEARCH($B75, FORECAST!$A$12:$A$475))) * (INT(FORECAST!$B$12:$B$475) &lt;= C$69) * (INT(FORECAST!$C$12:$C$475) &gt;= C$69), 0), 0)), "")</f>
        <v/>
      </c>
      <c r="D75" s="34" t="str" cm="1">
        <f t="array" ref="D75">IFERROR(INDEX(FORECAST!$D$12:$D$475, MATCH(1, INDEX((ISNUMBER(SEARCH($B75, FORECAST!$A$12:$A$475))) * (INT(FORECAST!$B$12:$B$475) &lt;= D$69) * (INT(FORECAST!$C$12:$C$475) &gt;= D$69), 0), 0)), "")</f>
        <v/>
      </c>
      <c r="E75" s="34" t="str" cm="1">
        <f t="array" ref="E75">IFERROR(INDEX(FORECAST!$D$12:$D$475, MATCH(1, INDEX((ISNUMBER(SEARCH($B75, FORECAST!$A$12:$A$475))) * (INT(FORECAST!$B$12:$B$475) &lt;= E$69) * (INT(FORECAST!$C$12:$C$475) &gt;= E$69), 0), 0)), "")</f>
        <v>Garantizado</v>
      </c>
      <c r="F75" s="34" t="str" cm="1">
        <f t="array" ref="F75">IFERROR(INDEX(FORECAST!$D$12:$D$475, MATCH(1, INDEX((ISNUMBER(SEARCH($B75, FORECAST!$A$12:$A$475))) * (INT(FORECAST!$B$12:$B$475) &lt;= F$69) * (INT(FORECAST!$C$12:$C$475) &gt;= F$69), 0), 0)), "")</f>
        <v>Garantizado</v>
      </c>
      <c r="G75" s="34" t="str" cm="1">
        <f t="array" ref="G75">IFERROR(INDEX(FORECAST!$D$12:$D$475, MATCH(1, INDEX((ISNUMBER(SEARCH($B75, FORECAST!$A$12:$A$475))) * (INT(FORECAST!$B$12:$B$475) &lt;= G$69) * (INT(FORECAST!$C$12:$C$475) &gt;= G$69), 0), 0)), "")</f>
        <v>Garantizado</v>
      </c>
      <c r="H75" s="34" t="str" cm="1">
        <f t="array" ref="H75">IFERROR(INDEX(FORECAST!$D$12:$D$475, MATCH(1, INDEX((ISNUMBER(SEARCH($B75, FORECAST!$A$12:$A$475))) * (INT(FORECAST!$B$12:$B$475) &lt;= H$69) * (INT(FORECAST!$C$12:$C$475) &gt;= H$69), 0), 0)), "")</f>
        <v>Garantizado</v>
      </c>
      <c r="I75" s="34" t="str" cm="1">
        <f t="array" ref="I75">IFERROR(INDEX(FORECAST!$D$12:$D$475, MATCH(1, INDEX((ISNUMBER(SEARCH($B75, FORECAST!$A$12:$A$475))) * (INT(FORECAST!$B$12:$B$475) &lt;= I$69) * (INT(FORECAST!$C$12:$C$475) &gt;= I$69), 0), 0)), "")</f>
        <v/>
      </c>
      <c r="J75" s="34" t="str" cm="1">
        <f t="array" ref="J75">IFERROR(INDEX(FORECAST!$D$12:$D$475, MATCH(1, INDEX((ISNUMBER(SEARCH($B75, FORECAST!$A$12:$A$475))) * (INT(FORECAST!$B$12:$B$475) &lt;= J$69) * (INT(FORECAST!$C$12:$C$475) &gt;= J$69), 0), 0)), "")</f>
        <v/>
      </c>
      <c r="K75" s="34" t="str" cm="1">
        <f t="array" ref="K75">IFERROR(INDEX(FORECAST!$D$12:$D$475, MATCH(1, INDEX((ISNUMBER(SEARCH($B75, FORECAST!$A$12:$A$475))) * (INT(FORECAST!$B$12:$B$475) &lt;= K$69) * (INT(FORECAST!$C$12:$C$475) &gt;= K$69), 0), 0)), "")</f>
        <v/>
      </c>
      <c r="L75" s="34" t="str" cm="1">
        <f t="array" ref="L75">IFERROR(INDEX(FORECAST!$D$12:$D$475, MATCH(1, INDEX((ISNUMBER(SEARCH($B75, FORECAST!$A$12:$A$475))) * (INT(FORECAST!$B$12:$B$475) &lt;= L$69) * (INT(FORECAST!$C$12:$C$475) &gt;= L$69), 0), 0)), "")</f>
        <v/>
      </c>
      <c r="M75" s="34" t="str" cm="1">
        <f t="array" ref="M75">IFERROR(INDEX(FORECAST!$D$12:$D$475, MATCH(1, INDEX((ISNUMBER(SEARCH($B75, FORECAST!$A$12:$A$475))) * (INT(FORECAST!$B$12:$B$475) &lt;= M$69) * (INT(FORECAST!$C$12:$C$475) &gt;= M$69), 0), 0)), "")</f>
        <v/>
      </c>
      <c r="N75" s="34" t="str" cm="1">
        <f t="array" ref="N75">IFERROR(INDEX(FORECAST!$D$12:$D$475, MATCH(1, INDEX((ISNUMBER(SEARCH($B75, FORECAST!$A$12:$A$475))) * (INT(FORECAST!$B$12:$B$475) &lt;= N$69) * (INT(FORECAST!$C$12:$C$475) &gt;= N$69), 0), 0)), "")</f>
        <v/>
      </c>
      <c r="O75" s="34" t="str" cm="1">
        <f t="array" ref="O75">IFERROR(INDEX(FORECAST!$D$12:$D$475, MATCH(1, INDEX((ISNUMBER(SEARCH($B75, FORECAST!$A$12:$A$475))) * (INT(FORECAST!$B$12:$B$475) &lt;= O$69) * (INT(FORECAST!$C$12:$C$475) &gt;= O$69), 0), 0)), "")</f>
        <v/>
      </c>
      <c r="P75" s="34" t="str" cm="1">
        <f t="array" ref="P75">IFERROR(INDEX(FORECAST!$D$12:$D$475, MATCH(1, INDEX((ISNUMBER(SEARCH($B75, FORECAST!$A$12:$A$475))) * (INT(FORECAST!$B$12:$B$475) &lt;= P$69) * (INT(FORECAST!$C$12:$C$475) &gt;= P$69), 0), 0)), "")</f>
        <v/>
      </c>
      <c r="Q75" s="34" t="str" cm="1">
        <f t="array" ref="Q75">IFERROR(INDEX(FORECAST!$D$12:$D$475, MATCH(1, INDEX((ISNUMBER(SEARCH($B75, FORECAST!$A$12:$A$475))) * (INT(FORECAST!$B$12:$B$475) &lt;= Q$69) * (INT(FORECAST!$C$12:$C$475) &gt;= Q$69), 0), 0)), "")</f>
        <v>Tentativo</v>
      </c>
      <c r="R75" s="34" t="str" cm="1">
        <f t="array" ref="R75">IFERROR(INDEX(FORECAST!$D$12:$D$475, MATCH(1, INDEX((ISNUMBER(SEARCH($B75, FORECAST!$A$12:$A$475))) * (INT(FORECAST!$B$12:$B$475) &lt;= R$69) * (INT(FORECAST!$C$12:$C$475) &gt;= R$69), 0), 0)), "")</f>
        <v>Tentativo</v>
      </c>
      <c r="S75" s="34" t="str" cm="1">
        <f t="array" ref="S75">IFERROR(INDEX(FORECAST!$D$12:$D$475, MATCH(1, INDEX((ISNUMBER(SEARCH($B75, FORECAST!$A$12:$A$475))) * (INT(FORECAST!$B$12:$B$475) &lt;= S$69) * (INT(FORECAST!$C$12:$C$475) &gt;= S$69), 0), 0)), "")</f>
        <v>Tentativo</v>
      </c>
      <c r="T75" s="34" t="str" cm="1">
        <f t="array" ref="T75">IFERROR(INDEX(FORECAST!$D$12:$D$475, MATCH(1, INDEX((ISNUMBER(SEARCH($B75, FORECAST!$A$12:$A$475))) * (INT(FORECAST!$B$12:$B$475) &lt;= T$69) * (INT(FORECAST!$C$12:$C$475) &gt;= T$69), 0), 0)), "")</f>
        <v/>
      </c>
      <c r="U75" s="34" t="str" cm="1">
        <f t="array" ref="U75">IFERROR(INDEX(FORECAST!$D$12:$D$475, MATCH(1, INDEX((ISNUMBER(SEARCH($B75, FORECAST!$A$12:$A$475))) * (INT(FORECAST!$B$12:$B$475) &lt;= U$69) * (INT(FORECAST!$C$12:$C$475) &gt;= U$69), 0), 0)), "")</f>
        <v/>
      </c>
      <c r="V75" s="34" t="str" cm="1">
        <f t="array" ref="V75">IFERROR(INDEX(FORECAST!$D$12:$D$475, MATCH(1, INDEX((ISNUMBER(SEARCH($B75, FORECAST!$A$12:$A$475))) * (INT(FORECAST!$B$12:$B$475) &lt;= V$69) * (INT(FORECAST!$C$12:$C$475) &gt;= V$69), 0), 0)), "")</f>
        <v/>
      </c>
      <c r="W75" s="34" t="str" cm="1">
        <f t="array" ref="W75">IFERROR(INDEX(FORECAST!$D$12:$D$475, MATCH(1, INDEX((ISNUMBER(SEARCH($B75, FORECAST!$A$12:$A$475))) * (INT(FORECAST!$B$12:$B$475) &lt;= W$69) * (INT(FORECAST!$C$12:$C$475) &gt;= W$69), 0), 0)), "")</f>
        <v/>
      </c>
      <c r="X75" s="34" t="str" cm="1">
        <f t="array" ref="X75">IFERROR(INDEX(FORECAST!$D$12:$D$475, MATCH(1, INDEX((ISNUMBER(SEARCH($B75, FORECAST!$A$12:$A$475))) * (INT(FORECAST!$B$12:$B$475) &lt;= X$69) * (INT(FORECAST!$C$12:$C$475) &gt;= X$69), 0), 0)), "")</f>
        <v/>
      </c>
      <c r="Y75" s="34" t="str" cm="1">
        <f t="array" ref="Y75">IFERROR(INDEX(FORECAST!$D$12:$D$475, MATCH(1, INDEX((ISNUMBER(SEARCH($B75, FORECAST!$A$12:$A$475))) * (INT(FORECAST!$B$12:$B$475) &lt;= Y$69) * (INT(FORECAST!$C$12:$C$475) &gt;= Y$69), 0), 0)), "")</f>
        <v/>
      </c>
      <c r="Z75" s="34" t="str" cm="1">
        <f t="array" ref="Z75">IFERROR(INDEX(FORECAST!$D$12:$D$475, MATCH(1, INDEX((ISNUMBER(SEARCH($B75, FORECAST!$A$12:$A$475))) * (INT(FORECAST!$B$12:$B$475) &lt;= Z$69) * (INT(FORECAST!$C$12:$C$475) &gt;= Z$69), 0), 0)), "")</f>
        <v/>
      </c>
      <c r="AA75" s="34" t="str" cm="1">
        <f t="array" ref="AA75">IFERROR(INDEX(FORECAST!$D$12:$D$475, MATCH(1, INDEX((ISNUMBER(SEARCH($B75, FORECAST!$A$12:$A$475))) * (INT(FORECAST!$B$12:$B$475) &lt;= AA$69) * (INT(FORECAST!$C$12:$C$475) &gt;= AA$69), 0), 0)), "")</f>
        <v/>
      </c>
      <c r="AB75" s="34" t="str" cm="1">
        <f t="array" ref="AB75">IFERROR(INDEX(FORECAST!$D$12:$D$475, MATCH(1, INDEX((ISNUMBER(SEARCH($B75, FORECAST!$A$12:$A$475))) * (INT(FORECAST!$B$12:$B$475) &lt;= AB$69) * (INT(FORECAST!$C$12:$C$475) &gt;= AB$69), 0), 0)), "")</f>
        <v/>
      </c>
      <c r="AC75" s="34" t="str" cm="1">
        <f t="array" ref="AC75">IFERROR(INDEX(FORECAST!$D$12:$D$475, MATCH(1, INDEX((ISNUMBER(SEARCH($B75, FORECAST!$A$12:$A$475))) * (INT(FORECAST!$B$12:$B$475) &lt;= AC$69) * (INT(FORECAST!$C$12:$C$475) &gt;= AC$69), 0), 0)), "")</f>
        <v/>
      </c>
      <c r="AD75" s="34" t="str" cm="1">
        <f t="array" ref="AD75">IFERROR(INDEX(FORECAST!$D$12:$D$475, MATCH(1, INDEX((ISNUMBER(SEARCH($B75, FORECAST!$A$12:$A$475))) * (INT(FORECAST!$B$12:$B$475) &lt;= AD$69) * (INT(FORECAST!$C$12:$C$475) &gt;= AD$69), 0), 0)), "")</f>
        <v/>
      </c>
      <c r="AE75" s="34" t="str" cm="1">
        <f t="array" ref="AE75">IFERROR(INDEX(FORECAST!$D$12:$D$475, MATCH(1, INDEX((ISNUMBER(SEARCH($B75, FORECAST!$A$12:$A$475))) * (INT(FORECAST!$B$12:$B$475) &lt;= AE$69) * (INT(FORECAST!$C$12:$C$475) &gt;= AE$69), 0), 0)), "")</f>
        <v/>
      </c>
      <c r="AF75" s="34" t="str" cm="1">
        <f t="array" ref="AF75">IFERROR(INDEX(FORECAST!$D$12:$D$475, MATCH(1, INDEX((ISNUMBER(SEARCH($B75, FORECAST!$A$12:$A$475))) * (INT(FORECAST!$B$12:$B$475) &lt;= AF$69) * (INT(FORECAST!$C$12:$C$475) &gt;= AF$69), 0), 0)), "")</f>
        <v/>
      </c>
      <c r="AG75" s="9"/>
      <c r="AH75" s="2"/>
      <c r="AI75" s="2"/>
      <c r="AJ75" s="45">
        <f t="shared" si="5"/>
        <v>0.13333333333333333</v>
      </c>
    </row>
    <row r="76" spans="1:40" x14ac:dyDescent="0.25">
      <c r="A76" s="71"/>
      <c r="B76" s="26" t="s">
        <v>9</v>
      </c>
      <c r="C76" s="34" t="str" cm="1">
        <f t="array" ref="C76">IFERROR(INDEX(FORECAST!$D$12:$D$475, MATCH(1, INDEX((ISNUMBER(SEARCH($B76, FORECAST!$A$12:$A$475))) * (INT(FORECAST!$B$12:$B$475) &lt;= C$69) * (INT(FORECAST!$C$12:$C$475) &gt;= C$69), 0), 0)), "")</f>
        <v/>
      </c>
      <c r="D76" s="34" t="str" cm="1">
        <f t="array" ref="D76">IFERROR(INDEX(FORECAST!$D$12:$D$475, MATCH(1, INDEX((ISNUMBER(SEARCH($B76, FORECAST!$A$12:$A$475))) * (INT(FORECAST!$B$12:$B$475) &lt;= D$69) * (INT(FORECAST!$C$12:$C$475) &gt;= D$69), 0), 0)), "")</f>
        <v/>
      </c>
      <c r="E76" s="34" t="str" cm="1">
        <f t="array" ref="E76">IFERROR(INDEX(FORECAST!$D$12:$D$475, MATCH(1, INDEX((ISNUMBER(SEARCH($B76, FORECAST!$A$12:$A$475))) * (INT(FORECAST!$B$12:$B$475) &lt;= E$69) * (INT(FORECAST!$C$12:$C$475) &gt;= E$69), 0), 0)), "")</f>
        <v>Garantizado</v>
      </c>
      <c r="F76" s="34" t="str" cm="1">
        <f t="array" ref="F76">IFERROR(INDEX(FORECAST!$D$12:$D$475, MATCH(1, INDEX((ISNUMBER(SEARCH($B76, FORECAST!$A$12:$A$475))) * (INT(FORECAST!$B$12:$B$475) &lt;= F$69) * (INT(FORECAST!$C$12:$C$475) &gt;= F$69), 0), 0)), "")</f>
        <v>Garantizado</v>
      </c>
      <c r="G76" s="34" t="str" cm="1">
        <f t="array" ref="G76">IFERROR(INDEX(FORECAST!$D$12:$D$475, MATCH(1, INDEX((ISNUMBER(SEARCH($B76, FORECAST!$A$12:$A$475))) * (INT(FORECAST!$B$12:$B$475) &lt;= G$69) * (INT(FORECAST!$C$12:$C$475) &gt;= G$69), 0), 0)), "")</f>
        <v>Garantizado</v>
      </c>
      <c r="H76" s="34" t="str" cm="1">
        <f t="array" ref="H76">IFERROR(INDEX(FORECAST!$D$12:$D$475, MATCH(1, INDEX((ISNUMBER(SEARCH($B76, FORECAST!$A$12:$A$475))) * (INT(FORECAST!$B$12:$B$475) &lt;= H$69) * (INT(FORECAST!$C$12:$C$475) &gt;= H$69), 0), 0)), "")</f>
        <v>Garantizado</v>
      </c>
      <c r="I76" s="34" t="str" cm="1">
        <f t="array" ref="I76">IFERROR(INDEX(FORECAST!$D$12:$D$475, MATCH(1, INDEX((ISNUMBER(SEARCH($B76, FORECAST!$A$12:$A$475))) * (INT(FORECAST!$B$12:$B$475) &lt;= I$69) * (INT(FORECAST!$C$12:$C$475) &gt;= I$69), 0), 0)), "")</f>
        <v/>
      </c>
      <c r="J76" s="34" t="str" cm="1">
        <f t="array" ref="J76">IFERROR(INDEX(FORECAST!$D$12:$D$475, MATCH(1, INDEX((ISNUMBER(SEARCH($B76, FORECAST!$A$12:$A$475))) * (INT(FORECAST!$B$12:$B$475) &lt;= J$69) * (INT(FORECAST!$C$12:$C$475) &gt;= J$69), 0), 0)), "")</f>
        <v/>
      </c>
      <c r="K76" s="34" t="str" cm="1">
        <f t="array" ref="K76">IFERROR(INDEX(FORECAST!$D$12:$D$475, MATCH(1, INDEX((ISNUMBER(SEARCH($B76, FORECAST!$A$12:$A$475))) * (INT(FORECAST!$B$12:$B$475) &lt;= K$69) * (INT(FORECAST!$C$12:$C$475) &gt;= K$69), 0), 0)), "")</f>
        <v/>
      </c>
      <c r="L76" s="34" t="str" cm="1">
        <f t="array" ref="L76">IFERROR(INDEX(FORECAST!$D$12:$D$475, MATCH(1, INDEX((ISNUMBER(SEARCH($B76, FORECAST!$A$12:$A$475))) * (INT(FORECAST!$B$12:$B$475) &lt;= L$69) * (INT(FORECAST!$C$12:$C$475) &gt;= L$69), 0), 0)), "")</f>
        <v/>
      </c>
      <c r="M76" s="34" t="str" cm="1">
        <f t="array" ref="M76">IFERROR(INDEX(FORECAST!$D$12:$D$475, MATCH(1, INDEX((ISNUMBER(SEARCH($B76, FORECAST!$A$12:$A$475))) * (INT(FORECAST!$B$12:$B$475) &lt;= M$69) * (INT(FORECAST!$C$12:$C$475) &gt;= M$69), 0), 0)), "")</f>
        <v/>
      </c>
      <c r="N76" s="34" t="str" cm="1">
        <f t="array" ref="N76">IFERROR(INDEX(FORECAST!$D$12:$D$475, MATCH(1, INDEX((ISNUMBER(SEARCH($B76, FORECAST!$A$12:$A$475))) * (INT(FORECAST!$B$12:$B$475) &lt;= N$69) * (INT(FORECAST!$C$12:$C$475) &gt;= N$69), 0), 0)), "")</f>
        <v/>
      </c>
      <c r="O76" s="34" t="str" cm="1">
        <f t="array" ref="O76">IFERROR(INDEX(FORECAST!$D$12:$D$475, MATCH(1, INDEX((ISNUMBER(SEARCH($B76, FORECAST!$A$12:$A$475))) * (INT(FORECAST!$B$12:$B$475) &lt;= O$69) * (INT(FORECAST!$C$12:$C$475) &gt;= O$69), 0), 0)), "")</f>
        <v>Tentativo</v>
      </c>
      <c r="P76" s="34" t="str" cm="1">
        <f t="array" ref="P76">IFERROR(INDEX(FORECAST!$D$12:$D$475, MATCH(1, INDEX((ISNUMBER(SEARCH($B76, FORECAST!$A$12:$A$475))) * (INT(FORECAST!$B$12:$B$475) &lt;= P$69) * (INT(FORECAST!$C$12:$C$475) &gt;= P$69), 0), 0)), "")</f>
        <v/>
      </c>
      <c r="Q76" s="34" t="str" cm="1">
        <f t="array" ref="Q76">IFERROR(INDEX(FORECAST!$D$12:$D$475, MATCH(1, INDEX((ISNUMBER(SEARCH($B76, FORECAST!$A$12:$A$475))) * (INT(FORECAST!$B$12:$B$475) &lt;= Q$69) * (INT(FORECAST!$C$12:$C$475) &gt;= Q$69), 0), 0)), "")</f>
        <v>Tentativo</v>
      </c>
      <c r="R76" s="34" t="str" cm="1">
        <f t="array" ref="R76">IFERROR(INDEX(FORECAST!$D$12:$D$475, MATCH(1, INDEX((ISNUMBER(SEARCH($B76, FORECAST!$A$12:$A$475))) * (INT(FORECAST!$B$12:$B$475) &lt;= R$69) * (INT(FORECAST!$C$12:$C$475) &gt;= R$69), 0), 0)), "")</f>
        <v>Tentativo</v>
      </c>
      <c r="S76" s="34" t="str" cm="1">
        <f t="array" ref="S76">IFERROR(INDEX(FORECAST!$D$12:$D$475, MATCH(1, INDEX((ISNUMBER(SEARCH($B76, FORECAST!$A$12:$A$475))) * (INT(FORECAST!$B$12:$B$475) &lt;= S$69) * (INT(FORECAST!$C$12:$C$475) &gt;= S$69), 0), 0)), "")</f>
        <v>Tentativo</v>
      </c>
      <c r="T76" s="34" t="str" cm="1">
        <f t="array" ref="T76">IFERROR(INDEX(FORECAST!$D$12:$D$475, MATCH(1, INDEX((ISNUMBER(SEARCH($B76, FORECAST!$A$12:$A$475))) * (INT(FORECAST!$B$12:$B$475) &lt;= T$69) * (INT(FORECAST!$C$12:$C$475) &gt;= T$69), 0), 0)), "")</f>
        <v/>
      </c>
      <c r="U76" s="34" t="str" cm="1">
        <f t="array" ref="U76">IFERROR(INDEX(FORECAST!$D$12:$D$475, MATCH(1, INDEX((ISNUMBER(SEARCH($B76, FORECAST!$A$12:$A$475))) * (INT(FORECAST!$B$12:$B$475) &lt;= U$69) * (INT(FORECAST!$C$12:$C$475) &gt;= U$69), 0), 0)), "")</f>
        <v/>
      </c>
      <c r="V76" s="34" t="str" cm="1">
        <f t="array" ref="V76">IFERROR(INDEX(FORECAST!$D$12:$D$475, MATCH(1, INDEX((ISNUMBER(SEARCH($B76, FORECAST!$A$12:$A$475))) * (INT(FORECAST!$B$12:$B$475) &lt;= V$69) * (INT(FORECAST!$C$12:$C$475) &gt;= V$69), 0), 0)), "")</f>
        <v/>
      </c>
      <c r="W76" s="34" t="str" cm="1">
        <f t="array" ref="W76">IFERROR(INDEX(FORECAST!$D$12:$D$475, MATCH(1, INDEX((ISNUMBER(SEARCH($B76, FORECAST!$A$12:$A$475))) * (INT(FORECAST!$B$12:$B$475) &lt;= W$69) * (INT(FORECAST!$C$12:$C$475) &gt;= W$69), 0), 0)), "")</f>
        <v/>
      </c>
      <c r="X76" s="34" t="str" cm="1">
        <f t="array" ref="X76">IFERROR(INDEX(FORECAST!$D$12:$D$475, MATCH(1, INDEX((ISNUMBER(SEARCH($B76, FORECAST!$A$12:$A$475))) * (INT(FORECAST!$B$12:$B$475) &lt;= X$69) * (INT(FORECAST!$C$12:$C$475) &gt;= X$69), 0), 0)), "")</f>
        <v>Presupuesto</v>
      </c>
      <c r="Y76" s="34" t="str" cm="1">
        <f t="array" ref="Y76">IFERROR(INDEX(FORECAST!$D$12:$D$475, MATCH(1, INDEX((ISNUMBER(SEARCH($B76, FORECAST!$A$12:$A$475))) * (INT(FORECAST!$B$12:$B$475) &lt;= Y$69) * (INT(FORECAST!$C$12:$C$475) &gt;= Y$69), 0), 0)), "")</f>
        <v>Presupuesto</v>
      </c>
      <c r="Z76" s="34" t="str" cm="1">
        <f t="array" ref="Z76">IFERROR(INDEX(FORECAST!$D$12:$D$475, MATCH(1, INDEX((ISNUMBER(SEARCH($B76, FORECAST!$A$12:$A$475))) * (INT(FORECAST!$B$12:$B$475) &lt;= Z$69) * (INT(FORECAST!$C$12:$C$475) &gt;= Z$69), 0), 0)), "")</f>
        <v>Presupuesto</v>
      </c>
      <c r="AA76" s="34" t="str" cm="1">
        <f t="array" ref="AA76">IFERROR(INDEX(FORECAST!$D$12:$D$475, MATCH(1, INDEX((ISNUMBER(SEARCH($B76, FORECAST!$A$12:$A$475))) * (INT(FORECAST!$B$12:$B$475) &lt;= AA$69) * (INT(FORECAST!$C$12:$C$475) &gt;= AA$69), 0), 0)), "")</f>
        <v/>
      </c>
      <c r="AB76" s="34" t="str" cm="1">
        <f t="array" ref="AB76">IFERROR(INDEX(FORECAST!$D$12:$D$475, MATCH(1, INDEX((ISNUMBER(SEARCH($B76, FORECAST!$A$12:$A$475))) * (INT(FORECAST!$B$12:$B$475) &lt;= AB$69) * (INT(FORECAST!$C$12:$C$475) &gt;= AB$69), 0), 0)), "")</f>
        <v/>
      </c>
      <c r="AC76" s="34" t="str" cm="1">
        <f t="array" ref="AC76">IFERROR(INDEX(FORECAST!$D$12:$D$475, MATCH(1, INDEX((ISNUMBER(SEARCH($B76, FORECAST!$A$12:$A$475))) * (INT(FORECAST!$B$12:$B$475) &lt;= AC$69) * (INT(FORECAST!$C$12:$C$475) &gt;= AC$69), 0), 0)), "")</f>
        <v/>
      </c>
      <c r="AD76" s="34" t="str" cm="1">
        <f t="array" ref="AD76">IFERROR(INDEX(FORECAST!$D$12:$D$475, MATCH(1, INDEX((ISNUMBER(SEARCH($B76, FORECAST!$A$12:$A$475))) * (INT(FORECAST!$B$12:$B$475) &lt;= AD$69) * (INT(FORECAST!$C$12:$C$475) &gt;= AD$69), 0), 0)), "")</f>
        <v>Tentativo</v>
      </c>
      <c r="AE76" s="34" t="str" cm="1">
        <f t="array" ref="AE76">IFERROR(INDEX(FORECAST!$D$12:$D$475, MATCH(1, INDEX((ISNUMBER(SEARCH($B76, FORECAST!$A$12:$A$475))) * (INT(FORECAST!$B$12:$B$475) &lt;= AE$69) * (INT(FORECAST!$C$12:$C$475) &gt;= AE$69), 0), 0)), "")</f>
        <v>Tentativo</v>
      </c>
      <c r="AF76" s="34" t="str" cm="1">
        <f t="array" ref="AF76">IFERROR(INDEX(FORECAST!$D$12:$D$475, MATCH(1, INDEX((ISNUMBER(SEARCH($B76, FORECAST!$A$12:$A$475))) * (INT(FORECAST!$B$12:$B$475) &lt;= AF$69) * (INT(FORECAST!$C$12:$C$475) &gt;= AF$69), 0), 0)), "")</f>
        <v>Tentativo</v>
      </c>
      <c r="AG76" s="9"/>
      <c r="AH76" s="2"/>
      <c r="AI76" s="2"/>
      <c r="AJ76" s="45">
        <f t="shared" si="5"/>
        <v>0.13333333333333333</v>
      </c>
    </row>
    <row r="77" spans="1:40" x14ac:dyDescent="0.25">
      <c r="A77" s="72"/>
      <c r="B77" s="26" t="s">
        <v>80</v>
      </c>
      <c r="C77" s="34" t="str" cm="1">
        <f t="array" ref="C77">IFERROR(INDEX(FORECAST!$D$12:$D$475, MATCH(1, INDEX((ISNUMBER(SEARCH($B77, FORECAST!$A$12:$A$475))) * (INT(FORECAST!$B$12:$B$475) &lt;= C$69) * (INT(FORECAST!$C$12:$C$475) &gt;= C$69), 0), 0)), "")</f>
        <v/>
      </c>
      <c r="D77" s="34" t="str" cm="1">
        <f t="array" ref="D77">IFERROR(INDEX(FORECAST!$D$12:$D$475, MATCH(1, INDEX((ISNUMBER(SEARCH($B77, FORECAST!$A$12:$A$475))) * (INT(FORECAST!$B$12:$B$475) &lt;= D$69) * (INT(FORECAST!$C$12:$C$475) &gt;= D$69), 0), 0)), "")</f>
        <v/>
      </c>
      <c r="E77" s="34" t="str" cm="1">
        <f t="array" ref="E77">IFERROR(INDEX(FORECAST!$D$12:$D$475, MATCH(1, INDEX((ISNUMBER(SEARCH($B77, FORECAST!$A$12:$A$475))) * (INT(FORECAST!$B$12:$B$475) &lt;= E$69) * (INT(FORECAST!$C$12:$C$475) &gt;= E$69), 0), 0)), "")</f>
        <v>Garantizado</v>
      </c>
      <c r="F77" s="34" t="str" cm="1">
        <f t="array" ref="F77">IFERROR(INDEX(FORECAST!$D$12:$D$475, MATCH(1, INDEX((ISNUMBER(SEARCH($B77, FORECAST!$A$12:$A$475))) * (INT(FORECAST!$B$12:$B$475) &lt;= F$69) * (INT(FORECAST!$C$12:$C$475) &gt;= F$69), 0), 0)), "")</f>
        <v>Garantizado</v>
      </c>
      <c r="G77" s="34" t="str" cm="1">
        <f t="array" ref="G77">IFERROR(INDEX(FORECAST!$D$12:$D$475, MATCH(1, INDEX((ISNUMBER(SEARCH($B77, FORECAST!$A$12:$A$475))) * (INT(FORECAST!$B$12:$B$475) &lt;= G$69) * (INT(FORECAST!$C$12:$C$475) &gt;= G$69), 0), 0)), "")</f>
        <v>Garantizado</v>
      </c>
      <c r="H77" s="34" t="str" cm="1">
        <f t="array" ref="H77">IFERROR(INDEX(FORECAST!$D$12:$D$475, MATCH(1, INDEX((ISNUMBER(SEARCH($B77, FORECAST!$A$12:$A$475))) * (INT(FORECAST!$B$12:$B$475) &lt;= H$69) * (INT(FORECAST!$C$12:$C$475) &gt;= H$69), 0), 0)), "")</f>
        <v>Garantizado</v>
      </c>
      <c r="I77" s="34" t="str" cm="1">
        <f t="array" ref="I77">IFERROR(INDEX(FORECAST!$D$12:$D$475, MATCH(1, INDEX((ISNUMBER(SEARCH($B77, FORECAST!$A$12:$A$475))) * (INT(FORECAST!$B$12:$B$475) &lt;= I$69) * (INT(FORECAST!$C$12:$C$475) &gt;= I$69), 0), 0)), "")</f>
        <v/>
      </c>
      <c r="J77" s="34" t="str" cm="1">
        <f t="array" ref="J77">IFERROR(INDEX(FORECAST!$D$12:$D$475, MATCH(1, INDEX((ISNUMBER(SEARCH($B77, FORECAST!$A$12:$A$475))) * (INT(FORECAST!$B$12:$B$475) &lt;= J$69) * (INT(FORECAST!$C$12:$C$475) &gt;= J$69), 0), 0)), "")</f>
        <v/>
      </c>
      <c r="K77" s="34" t="str" cm="1">
        <f t="array" ref="K77">IFERROR(INDEX(FORECAST!$D$12:$D$475, MATCH(1, INDEX((ISNUMBER(SEARCH($B77, FORECAST!$A$12:$A$475))) * (INT(FORECAST!$B$12:$B$475) &lt;= K$69) * (INT(FORECAST!$C$12:$C$475) &gt;= K$69), 0), 0)), "")</f>
        <v/>
      </c>
      <c r="L77" s="34" t="str" cm="1">
        <f t="array" ref="L77">IFERROR(INDEX(FORECAST!$D$12:$D$475, MATCH(1, INDEX((ISNUMBER(SEARCH($B77, FORECAST!$A$12:$A$475))) * (INT(FORECAST!$B$12:$B$475) &lt;= L$69) * (INT(FORECAST!$C$12:$C$475) &gt;= L$69), 0), 0)), "")</f>
        <v/>
      </c>
      <c r="M77" s="34" t="str" cm="1">
        <f t="array" ref="M77">IFERROR(INDEX(FORECAST!$D$12:$D$475, MATCH(1, INDEX((ISNUMBER(SEARCH($B77, FORECAST!$A$12:$A$475))) * (INT(FORECAST!$B$12:$B$475) &lt;= M$69) * (INT(FORECAST!$C$12:$C$475) &gt;= M$69), 0), 0)), "")</f>
        <v>Garantizado</v>
      </c>
      <c r="N77" s="34" t="str" cm="1">
        <f t="array" ref="N77">IFERROR(INDEX(FORECAST!$D$12:$D$475, MATCH(1, INDEX((ISNUMBER(SEARCH($B77, FORECAST!$A$12:$A$475))) * (INT(FORECAST!$B$12:$B$475) &lt;= N$69) * (INT(FORECAST!$C$12:$C$475) &gt;= N$69), 0), 0)), "")</f>
        <v>Garantizado</v>
      </c>
      <c r="O77" s="34" t="str" cm="1">
        <f t="array" ref="O77">IFERROR(INDEX(FORECAST!$D$12:$D$475, MATCH(1, INDEX((ISNUMBER(SEARCH($B77, FORECAST!$A$12:$A$475))) * (INT(FORECAST!$B$12:$B$475) &lt;= O$69) * (INT(FORECAST!$C$12:$C$475) &gt;= O$69), 0), 0)), "")</f>
        <v>Garantizado</v>
      </c>
      <c r="P77" s="34" t="str" cm="1">
        <f t="array" ref="P77">IFERROR(INDEX(FORECAST!$D$12:$D$475, MATCH(1, INDEX((ISNUMBER(SEARCH($B77, FORECAST!$A$12:$A$475))) * (INT(FORECAST!$B$12:$B$475) &lt;= P$69) * (INT(FORECAST!$C$12:$C$475) &gt;= P$69), 0), 0)), "")</f>
        <v/>
      </c>
      <c r="Q77" s="34" t="str" cm="1">
        <f t="array" ref="Q77">IFERROR(INDEX(FORECAST!$D$12:$D$475, MATCH(1, INDEX((ISNUMBER(SEARCH($B77, FORECAST!$A$12:$A$475))) * (INT(FORECAST!$B$12:$B$475) &lt;= Q$69) * (INT(FORECAST!$C$12:$C$475) &gt;= Q$69), 0), 0)), "")</f>
        <v/>
      </c>
      <c r="R77" s="34" t="str" cm="1">
        <f t="array" ref="R77">IFERROR(INDEX(FORECAST!$D$12:$D$475, MATCH(1, INDEX((ISNUMBER(SEARCH($B77, FORECAST!$A$12:$A$475))) * (INT(FORECAST!$B$12:$B$475) &lt;= R$69) * (INT(FORECAST!$C$12:$C$475) &gt;= R$69), 0), 0)), "")</f>
        <v/>
      </c>
      <c r="S77" s="34" t="str" cm="1">
        <f t="array" ref="S77">IFERROR(INDEX(FORECAST!$D$12:$D$475, MATCH(1, INDEX((ISNUMBER(SEARCH($B77, FORECAST!$A$12:$A$475))) * (INT(FORECAST!$B$12:$B$475) &lt;= S$69) * (INT(FORECAST!$C$12:$C$475) &gt;= S$69), 0), 0)), "")</f>
        <v/>
      </c>
      <c r="T77" s="34" t="str" cm="1">
        <f t="array" ref="T77">IFERROR(INDEX(FORECAST!$D$12:$D$475, MATCH(1, INDEX((ISNUMBER(SEARCH($B77, FORECAST!$A$12:$A$475))) * (INT(FORECAST!$B$12:$B$475) &lt;= T$69) * (INT(FORECAST!$C$12:$C$475) &gt;= T$69), 0), 0)), "")</f>
        <v/>
      </c>
      <c r="U77" s="34" t="str" cm="1">
        <f t="array" ref="U77">IFERROR(INDEX(FORECAST!$D$12:$D$475, MATCH(1, INDEX((ISNUMBER(SEARCH($B77, FORECAST!$A$12:$A$475))) * (INT(FORECAST!$B$12:$B$475) &lt;= U$69) * (INT(FORECAST!$C$12:$C$475) &gt;= U$69), 0), 0)), "")</f>
        <v/>
      </c>
      <c r="V77" s="34" t="str" cm="1">
        <f t="array" ref="V77">IFERROR(INDEX(FORECAST!$D$12:$D$475, MATCH(1, INDEX((ISNUMBER(SEARCH($B77, FORECAST!$A$12:$A$475))) * (INT(FORECAST!$B$12:$B$475) &lt;= V$69) * (INT(FORECAST!$C$12:$C$475) &gt;= V$69), 0), 0)), "")</f>
        <v/>
      </c>
      <c r="W77" s="34" t="str" cm="1">
        <f t="array" ref="W77">IFERROR(INDEX(FORECAST!$D$12:$D$475, MATCH(1, INDEX((ISNUMBER(SEARCH($B77, FORECAST!$A$12:$A$475))) * (INT(FORECAST!$B$12:$B$475) &lt;= W$69) * (INT(FORECAST!$C$12:$C$475) &gt;= W$69), 0), 0)), "")</f>
        <v/>
      </c>
      <c r="X77" s="34" t="str" cm="1">
        <f t="array" ref="X77">IFERROR(INDEX(FORECAST!$D$12:$D$475, MATCH(1, INDEX((ISNUMBER(SEARCH($B77, FORECAST!$A$12:$A$475))) * (INT(FORECAST!$B$12:$B$475) &lt;= X$69) * (INT(FORECAST!$C$12:$C$475) &gt;= X$69), 0), 0)), "")</f>
        <v/>
      </c>
      <c r="Y77" s="34" t="str" cm="1">
        <f t="array" ref="Y77">IFERROR(INDEX(FORECAST!$D$12:$D$475, MATCH(1, INDEX((ISNUMBER(SEARCH($B77, FORECAST!$A$12:$A$475))) * (INT(FORECAST!$B$12:$B$475) &lt;= Y$69) * (INT(FORECAST!$C$12:$C$475) &gt;= Y$69), 0), 0)), "")</f>
        <v/>
      </c>
      <c r="Z77" s="34" t="str" cm="1">
        <f t="array" ref="Z77">IFERROR(INDEX(FORECAST!$D$12:$D$475, MATCH(1, INDEX((ISNUMBER(SEARCH($B77, FORECAST!$A$12:$A$475))) * (INT(FORECAST!$B$12:$B$475) &lt;= Z$69) * (INT(FORECAST!$C$12:$C$475) &gt;= Z$69), 0), 0)), "")</f>
        <v/>
      </c>
      <c r="AA77" s="34" t="str" cm="1">
        <f t="array" ref="AA77">IFERROR(INDEX(FORECAST!$D$12:$D$475, MATCH(1, INDEX((ISNUMBER(SEARCH($B77, FORECAST!$A$12:$A$475))) * (INT(FORECAST!$B$12:$B$475) &lt;= AA$69) * (INT(FORECAST!$C$12:$C$475) &gt;= AA$69), 0), 0)), "")</f>
        <v/>
      </c>
      <c r="AB77" s="34" t="str" cm="1">
        <f t="array" ref="AB77">IFERROR(INDEX(FORECAST!$D$12:$D$475, MATCH(1, INDEX((ISNUMBER(SEARCH($B77, FORECAST!$A$12:$A$475))) * (INT(FORECAST!$B$12:$B$475) &lt;= AB$69) * (INT(FORECAST!$C$12:$C$475) &gt;= AB$69), 0), 0)), "")</f>
        <v/>
      </c>
      <c r="AC77" s="34" t="str" cm="1">
        <f t="array" ref="AC77">IFERROR(INDEX(FORECAST!$D$12:$D$475, MATCH(1, INDEX((ISNUMBER(SEARCH($B77, FORECAST!$A$12:$A$475))) * (INT(FORECAST!$B$12:$B$475) &lt;= AC$69) * (INT(FORECAST!$C$12:$C$475) &gt;= AC$69), 0), 0)), "")</f>
        <v/>
      </c>
      <c r="AD77" s="34" t="str" cm="1">
        <f t="array" ref="AD77">IFERROR(INDEX(FORECAST!$D$12:$D$475, MATCH(1, INDEX((ISNUMBER(SEARCH($B77, FORECAST!$A$12:$A$475))) * (INT(FORECAST!$B$12:$B$475) &lt;= AD$69) * (INT(FORECAST!$C$12:$C$475) &gt;= AD$69), 0), 0)), "")</f>
        <v>Tentativo</v>
      </c>
      <c r="AE77" s="34" t="str" cm="1">
        <f t="array" ref="AE77">IFERROR(INDEX(FORECAST!$D$12:$D$475, MATCH(1, INDEX((ISNUMBER(SEARCH($B77, FORECAST!$A$12:$A$475))) * (INT(FORECAST!$B$12:$B$475) &lt;= AE$69) * (INT(FORECAST!$C$12:$C$475) &gt;= AE$69), 0), 0)), "")</f>
        <v>Tentativo</v>
      </c>
      <c r="AF77" s="34" t="str" cm="1">
        <f t="array" ref="AF77">IFERROR(INDEX(FORECAST!$D$12:$D$475, MATCH(1, INDEX((ISNUMBER(SEARCH($B77, FORECAST!$A$12:$A$475))) * (INT(FORECAST!$B$12:$B$475) &lt;= AF$69) * (INT(FORECAST!$C$12:$C$475) &gt;= AF$69), 0), 0)), "")</f>
        <v>Tentativo</v>
      </c>
      <c r="AG77" s="9"/>
      <c r="AH77" s="2"/>
      <c r="AI77" s="2"/>
      <c r="AJ77" s="45">
        <f t="shared" si="5"/>
        <v>0.23333333333333334</v>
      </c>
    </row>
    <row r="78" spans="1:40" x14ac:dyDescent="0.25">
      <c r="A78" s="41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2"/>
      <c r="AI78" s="2"/>
    </row>
    <row r="79" spans="1:40" x14ac:dyDescent="0.25"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AF79" s="10"/>
      <c r="AG79" s="9"/>
      <c r="AH79" s="2"/>
      <c r="AI79" s="2"/>
      <c r="AN79" t="s">
        <v>529</v>
      </c>
    </row>
    <row r="80" spans="1:40" x14ac:dyDescent="0.25">
      <c r="C80" s="1" t="s">
        <v>508</v>
      </c>
      <c r="D80" s="1" t="s">
        <v>502</v>
      </c>
      <c r="E80" s="1" t="s">
        <v>503</v>
      </c>
      <c r="F80" s="7" t="s">
        <v>504</v>
      </c>
      <c r="G80" s="7" t="s">
        <v>505</v>
      </c>
      <c r="H80" s="1" t="s">
        <v>506</v>
      </c>
      <c r="I80" s="1" t="s">
        <v>507</v>
      </c>
      <c r="J80" s="1" t="s">
        <v>508</v>
      </c>
      <c r="K80" s="13" t="s">
        <v>502</v>
      </c>
      <c r="L80" s="56" t="s">
        <v>503</v>
      </c>
      <c r="M80" s="7" t="s">
        <v>504</v>
      </c>
      <c r="N80" s="7" t="s">
        <v>505</v>
      </c>
      <c r="O80" s="16" t="s">
        <v>506</v>
      </c>
      <c r="P80" s="16" t="s">
        <v>507</v>
      </c>
      <c r="Q80" s="1" t="s">
        <v>508</v>
      </c>
      <c r="R80" s="1" t="s">
        <v>502</v>
      </c>
      <c r="S80" s="1" t="s">
        <v>503</v>
      </c>
      <c r="T80" s="7" t="s">
        <v>509</v>
      </c>
      <c r="U80" s="7" t="s">
        <v>510</v>
      </c>
      <c r="V80" s="1" t="s">
        <v>511</v>
      </c>
      <c r="W80" s="16" t="s">
        <v>512</v>
      </c>
      <c r="X80" s="1" t="s">
        <v>513</v>
      </c>
      <c r="Y80" s="1" t="s">
        <v>514</v>
      </c>
      <c r="Z80" s="1" t="s">
        <v>515</v>
      </c>
      <c r="AA80" s="7" t="s">
        <v>509</v>
      </c>
      <c r="AB80" s="7" t="s">
        <v>510</v>
      </c>
      <c r="AC80" s="1" t="s">
        <v>511</v>
      </c>
      <c r="AD80" s="16" t="s">
        <v>512</v>
      </c>
      <c r="AE80" s="1" t="s">
        <v>513</v>
      </c>
      <c r="AF80" s="1" t="s">
        <v>514</v>
      </c>
      <c r="AG80" s="1" t="s">
        <v>515</v>
      </c>
      <c r="AH80" s="2"/>
      <c r="AI80" s="2"/>
    </row>
    <row r="81" spans="1:38" x14ac:dyDescent="0.25">
      <c r="C81" s="61">
        <v>46204</v>
      </c>
      <c r="D81" s="61">
        <v>46205</v>
      </c>
      <c r="E81" s="61">
        <v>46206</v>
      </c>
      <c r="F81" s="61">
        <v>46207</v>
      </c>
      <c r="G81" s="61">
        <v>46208</v>
      </c>
      <c r="H81" s="61">
        <v>46209</v>
      </c>
      <c r="I81" s="61">
        <v>46210</v>
      </c>
      <c r="J81" s="61">
        <v>46211</v>
      </c>
      <c r="K81" s="61">
        <v>46212</v>
      </c>
      <c r="L81" s="61">
        <v>46213</v>
      </c>
      <c r="M81" s="61">
        <v>46214</v>
      </c>
      <c r="N81" s="61">
        <v>46215</v>
      </c>
      <c r="O81" s="61">
        <v>46216</v>
      </c>
      <c r="P81" s="61">
        <v>46217</v>
      </c>
      <c r="Q81" s="61">
        <v>46218</v>
      </c>
      <c r="R81" s="61">
        <v>46219</v>
      </c>
      <c r="S81" s="61">
        <v>46220</v>
      </c>
      <c r="T81" s="61">
        <v>46221</v>
      </c>
      <c r="U81" s="61">
        <v>46222</v>
      </c>
      <c r="V81" s="61">
        <v>46223</v>
      </c>
      <c r="W81" s="61">
        <v>46224</v>
      </c>
      <c r="X81" s="61">
        <v>46225</v>
      </c>
      <c r="Y81" s="61">
        <v>46226</v>
      </c>
      <c r="Z81" s="61">
        <v>46227</v>
      </c>
      <c r="AA81" s="61">
        <v>46228</v>
      </c>
      <c r="AB81" s="61">
        <v>46229</v>
      </c>
      <c r="AC81" s="61">
        <v>46230</v>
      </c>
      <c r="AD81" s="61">
        <v>46231</v>
      </c>
      <c r="AE81" s="61">
        <v>46232</v>
      </c>
      <c r="AF81" s="61">
        <v>46233</v>
      </c>
      <c r="AG81" s="61">
        <v>46234</v>
      </c>
      <c r="AH81" s="2"/>
      <c r="AI81" s="37"/>
      <c r="AJ81" s="22" t="s">
        <v>516</v>
      </c>
    </row>
    <row r="82" spans="1:38" ht="15" customHeight="1" x14ac:dyDescent="0.25">
      <c r="A82" s="68" t="s">
        <v>530</v>
      </c>
      <c r="B82" s="25" t="s">
        <v>518</v>
      </c>
      <c r="C82" s="36" t="str" cm="1">
        <f t="array" ref="C82">IFERROR(INDEX(FORECAST!$D$12:$D$475, MATCH(1, INDEX((ISNUMBER(SEARCH($B82, FORECAST!$A$12:$A$475))) * (INT(FORECAST!$B$12:$B$475) &lt;= C$81) * (INT(FORECAST!$C$12:$C$475) &gt;= C$81), 0), 0)), "")</f>
        <v>Tentativo</v>
      </c>
      <c r="D82" s="36" t="str" cm="1">
        <f t="array" ref="D82">IFERROR(INDEX(FORECAST!$D$12:$D$475, MATCH(1, INDEX((ISNUMBER(SEARCH($B82, FORECAST!$A$12:$A$475))) * (INT(FORECAST!$B$12:$B$475) &lt;= D$81) * (INT(FORECAST!$C$12:$C$475) &gt;= D$81), 0), 0)), "")</f>
        <v>Tentativo</v>
      </c>
      <c r="E82" s="36" t="str" cm="1">
        <f t="array" ref="E82">IFERROR(INDEX(FORECAST!$D$12:$D$475, MATCH(1, INDEX((ISNUMBER(SEARCH($B82, FORECAST!$A$12:$A$475))) * (INT(FORECAST!$B$12:$B$475) &lt;= E$81) * (INT(FORECAST!$C$12:$C$475) &gt;= E$81), 0), 0)), "")</f>
        <v>Tentativo</v>
      </c>
      <c r="F82" s="36" t="str" cm="1">
        <f t="array" ref="F82">IFERROR(INDEX(FORECAST!$D$12:$D$475, MATCH(1, INDEX((ISNUMBER(SEARCH($B82, FORECAST!$A$12:$A$475))) * (INT(FORECAST!$B$12:$B$475) &lt;= F$81) * (INT(FORECAST!$C$12:$C$475) &gt;= F$81), 0), 0)), "")</f>
        <v>Tentativo</v>
      </c>
      <c r="G82" s="36" t="str" cm="1">
        <f t="array" ref="G82">IFERROR(INDEX(FORECAST!$D$12:$D$475, MATCH(1, INDEX((ISNUMBER(SEARCH($B82, FORECAST!$A$12:$A$475))) * (INT(FORECAST!$B$12:$B$475) &lt;= G$81) * (INT(FORECAST!$C$12:$C$475) &gt;= G$81), 0), 0)), "")</f>
        <v>Tentativo</v>
      </c>
      <c r="H82" s="36" t="str" cm="1">
        <f t="array" ref="H82">IFERROR(INDEX(FORECAST!$D$12:$D$475, MATCH(1, INDEX((ISNUMBER(SEARCH($B82, FORECAST!$A$12:$A$475))) * (INT(FORECAST!$B$12:$B$475) &lt;= H$81) * (INT(FORECAST!$C$12:$C$475) &gt;= H$81), 0), 0)), "")</f>
        <v>Tentativo</v>
      </c>
      <c r="I82" s="36" t="str" cm="1">
        <f t="array" ref="I82">IFERROR(INDEX(FORECAST!$D$12:$D$475, MATCH(1, INDEX((ISNUMBER(SEARCH($B82, FORECAST!$A$12:$A$475))) * (INT(FORECAST!$B$12:$B$475) &lt;= I$81) * (INT(FORECAST!$C$12:$C$475) &gt;= I$81), 0), 0)), "")</f>
        <v>Tentativo</v>
      </c>
      <c r="J82" s="36" t="str" cm="1">
        <f t="array" ref="J82">IFERROR(INDEX(FORECAST!$D$12:$D$475, MATCH(1, INDEX((ISNUMBER(SEARCH($B82, FORECAST!$A$12:$A$475))) * (INT(FORECAST!$B$12:$B$475) &lt;= J$81) * (INT(FORECAST!$C$12:$C$475) &gt;= J$81), 0), 0)), "")</f>
        <v/>
      </c>
      <c r="K82" s="36" t="str" cm="1">
        <f t="array" ref="K82">IFERROR(INDEX(FORECAST!$D$12:$D$475, MATCH(1, INDEX((ISNUMBER(SEARCH($B82, FORECAST!$A$12:$A$475))) * (INT(FORECAST!$B$12:$B$475) &lt;= K$81) * (INT(FORECAST!$C$12:$C$475) &gt;= K$81), 0), 0)), "")</f>
        <v>Tentativo</v>
      </c>
      <c r="L82" s="36" t="str" cm="1">
        <f t="array" ref="L82">IFERROR(INDEX(FORECAST!$D$12:$D$475, MATCH(1, INDEX((ISNUMBER(SEARCH($B82, FORECAST!$A$12:$A$475))) * (INT(FORECAST!$B$12:$B$475) &lt;= L$81) * (INT(FORECAST!$C$12:$C$475) &gt;= L$81), 0), 0)), "")</f>
        <v>Tentativo</v>
      </c>
      <c r="M82" s="36" t="str" cm="1">
        <f t="array" ref="M82">IFERROR(INDEX(FORECAST!$D$12:$D$475, MATCH(1, INDEX((ISNUMBER(SEARCH($B82, FORECAST!$A$12:$A$475))) * (INT(FORECAST!$B$12:$B$475) &lt;= M$81) * (INT(FORECAST!$C$12:$C$475) &gt;= M$81), 0), 0)), "")</f>
        <v>Tentativo</v>
      </c>
      <c r="N82" s="36" t="str" cm="1">
        <f t="array" ref="N82">IFERROR(INDEX(FORECAST!$D$12:$D$475, MATCH(1, INDEX((ISNUMBER(SEARCH($B82, FORECAST!$A$12:$A$475))) * (INT(FORECAST!$B$12:$B$475) &lt;= N$81) * (INT(FORECAST!$C$12:$C$475) &gt;= N$81), 0), 0)), "")</f>
        <v>Tentativo</v>
      </c>
      <c r="O82" s="36" t="str" cm="1">
        <f t="array" ref="O82">IFERROR(INDEX(FORECAST!$D$12:$D$475, MATCH(1, INDEX((ISNUMBER(SEARCH($B82, FORECAST!$A$12:$A$475))) * (INT(FORECAST!$B$12:$B$475) &lt;= O$81) * (INT(FORECAST!$C$12:$C$475) &gt;= O$81), 0), 0)), "")</f>
        <v/>
      </c>
      <c r="P82" s="36" t="str" cm="1">
        <f t="array" ref="P82">IFERROR(INDEX(FORECAST!$D$12:$D$475, MATCH(1, INDEX((ISNUMBER(SEARCH($B82, FORECAST!$A$12:$A$475))) * (INT(FORECAST!$B$12:$B$475) &lt;= P$81) * (INT(FORECAST!$C$12:$C$475) &gt;= P$81), 0), 0)), "")</f>
        <v/>
      </c>
      <c r="Q82" s="36" t="str" cm="1">
        <f t="array" ref="Q82">IFERROR(INDEX(FORECAST!$D$12:$D$475, MATCH(1, INDEX((ISNUMBER(SEARCH($B82, FORECAST!$A$12:$A$475))) * (INT(FORECAST!$B$12:$B$475) &lt;= Q$81) * (INT(FORECAST!$C$12:$C$475) &gt;= Q$81), 0), 0)), "")</f>
        <v/>
      </c>
      <c r="R82" s="36" t="str" cm="1">
        <f t="array" ref="R82">IFERROR(INDEX(FORECAST!$D$12:$D$475, MATCH(1, INDEX((ISNUMBER(SEARCH($B82, FORECAST!$A$12:$A$475))) * (INT(FORECAST!$B$12:$B$475) &lt;= R$81) * (INT(FORECAST!$C$12:$C$475) &gt;= R$81), 0), 0)), "")</f>
        <v/>
      </c>
      <c r="S82" s="36" t="str" cm="1">
        <f t="array" ref="S82">IFERROR(INDEX(FORECAST!$D$12:$D$475, MATCH(1, INDEX((ISNUMBER(SEARCH($B82, FORECAST!$A$12:$A$475))) * (INT(FORECAST!$B$12:$B$475) &lt;= S$81) * (INT(FORECAST!$C$12:$C$475) &gt;= S$81), 0), 0)), "")</f>
        <v>Tentativo</v>
      </c>
      <c r="T82" s="36" t="str" cm="1">
        <f t="array" ref="T82">IFERROR(INDEX(FORECAST!$D$12:$D$475, MATCH(1, INDEX((ISNUMBER(SEARCH($B82, FORECAST!$A$12:$A$475))) * (INT(FORECAST!$B$12:$B$475) &lt;= T$81) * (INT(FORECAST!$C$12:$C$475) &gt;= T$81), 0), 0)), "")</f>
        <v>Tentativo</v>
      </c>
      <c r="U82" s="36" t="str" cm="1">
        <f t="array" ref="U82">IFERROR(INDEX(FORECAST!$D$12:$D$475, MATCH(1, INDEX((ISNUMBER(SEARCH($B82, FORECAST!$A$12:$A$475))) * (INT(FORECAST!$B$12:$B$475) &lt;= U$81) * (INT(FORECAST!$C$12:$C$475) &gt;= U$81), 0), 0)), "")</f>
        <v>Tentativo</v>
      </c>
      <c r="V82" s="36" t="str" cm="1">
        <f t="array" ref="V82">IFERROR(INDEX(FORECAST!$D$12:$D$475, MATCH(1, INDEX((ISNUMBER(SEARCH($B82, FORECAST!$A$12:$A$475))) * (INT(FORECAST!$B$12:$B$475) &lt;= V$81) * (INT(FORECAST!$C$12:$C$475) &gt;= V$81), 0), 0)), "")</f>
        <v/>
      </c>
      <c r="W82" s="36" t="str" cm="1">
        <f t="array" ref="W82">IFERROR(INDEX(FORECAST!$D$12:$D$475, MATCH(1, INDEX((ISNUMBER(SEARCH($B82, FORECAST!$A$12:$A$475))) * (INT(FORECAST!$B$12:$B$475) &lt;= W$81) * (INT(FORECAST!$C$12:$C$475) &gt;= W$81), 0), 0)), "")</f>
        <v/>
      </c>
      <c r="X82" s="36" t="str" cm="1">
        <f t="array" ref="X82">IFERROR(INDEX(FORECAST!$D$12:$D$475, MATCH(1, INDEX((ISNUMBER(SEARCH($B82, FORECAST!$A$12:$A$475))) * (INT(FORECAST!$B$12:$B$475) &lt;= X$81) * (INT(FORECAST!$C$12:$C$475) &gt;= X$81), 0), 0)), "")</f>
        <v/>
      </c>
      <c r="Y82" s="36" t="str" cm="1">
        <f t="array" ref="Y82">IFERROR(INDEX(FORECAST!$D$12:$D$475, MATCH(1, INDEX((ISNUMBER(SEARCH($B82, FORECAST!$A$12:$A$475))) * (INT(FORECAST!$B$12:$B$475) &lt;= Y$81) * (INT(FORECAST!$C$12:$C$475) &gt;= Y$81), 0), 0)), "")</f>
        <v/>
      </c>
      <c r="Z82" s="36" t="str" cm="1">
        <f t="array" ref="Z82">IFERROR(INDEX(FORECAST!$D$12:$D$475, MATCH(1, INDEX((ISNUMBER(SEARCH($B82, FORECAST!$A$12:$A$475))) * (INT(FORECAST!$B$12:$B$475) &lt;= Z$81) * (INT(FORECAST!$C$12:$C$475) &gt;= Z$81), 0), 0)), "")</f>
        <v/>
      </c>
      <c r="AA82" s="36" t="str" cm="1">
        <f t="array" ref="AA82">IFERROR(INDEX(FORECAST!$D$12:$D$475, MATCH(1, INDEX((ISNUMBER(SEARCH($B82, FORECAST!$A$12:$A$475))) * (INT(FORECAST!$B$12:$B$475) &lt;= AA$81) * (INT(FORECAST!$C$12:$C$475) &gt;= AA$81), 0), 0)), "")</f>
        <v/>
      </c>
      <c r="AB82" s="36" t="str" cm="1">
        <f t="array" ref="AB82">IFERROR(INDEX(FORECAST!$D$12:$D$475, MATCH(1, INDEX((ISNUMBER(SEARCH($B82, FORECAST!$A$12:$A$475))) * (INT(FORECAST!$B$12:$B$475) &lt;= AB$81) * (INT(FORECAST!$C$12:$C$475) &gt;= AB$81), 0), 0)), "")</f>
        <v/>
      </c>
      <c r="AC82" s="36" t="str" cm="1">
        <f t="array" ref="AC82">IFERROR(INDEX(FORECAST!$D$12:$D$475, MATCH(1, INDEX((ISNUMBER(SEARCH($B82, FORECAST!$A$12:$A$475))) * (INT(FORECAST!$B$12:$B$475) &lt;= AC$81) * (INT(FORECAST!$C$12:$C$475) &gt;= AC$81), 0), 0)), "")</f>
        <v/>
      </c>
      <c r="AD82" s="36" t="str" cm="1">
        <f t="array" ref="AD82">IFERROR(INDEX(FORECAST!$D$12:$D$475, MATCH(1, INDEX((ISNUMBER(SEARCH($B82, FORECAST!$A$12:$A$475))) * (INT(FORECAST!$B$12:$B$475) &lt;= AD$81) * (INT(FORECAST!$C$12:$C$475) &gt;= AD$81), 0), 0)), "")</f>
        <v/>
      </c>
      <c r="AE82" s="36" t="str" cm="1">
        <f t="array" ref="AE82">IFERROR(INDEX(FORECAST!$D$12:$D$475, MATCH(1, INDEX((ISNUMBER(SEARCH($B82, FORECAST!$A$12:$A$475))) * (INT(FORECAST!$B$12:$B$475) &lt;= AE$81) * (INT(FORECAST!$C$12:$C$475) &gt;= AE$81), 0), 0)), "")</f>
        <v>Tentativo</v>
      </c>
      <c r="AF82" s="36" t="str" cm="1">
        <f t="array" ref="AF82">IFERROR(INDEX(FORECAST!$D$12:$D$475, MATCH(1, INDEX((ISNUMBER(SEARCH($B82, FORECAST!$A$12:$A$475))) * (INT(FORECAST!$B$12:$B$475) &lt;= AF$81) * (INT(FORECAST!$C$12:$C$475) &gt;= AF$81), 0), 0)), "")</f>
        <v>Tentativo</v>
      </c>
      <c r="AG82" s="36" t="str" cm="1">
        <f t="array" ref="AG82">IFERROR(INDEX(FORECAST!$D$12:$D$475, MATCH(1, INDEX((ISNUMBER(SEARCH($B82, FORECAST!$A$12:$A$475))) * (INT(FORECAST!$B$12:$B$475) &lt;= AG$81) * (INT(FORECAST!$C$12:$C$475) &gt;= AG$81), 0), 0)), "")</f>
        <v>Tentativo</v>
      </c>
      <c r="AH82" s="9"/>
      <c r="AI82" s="2"/>
      <c r="AJ82" s="45">
        <f>COUNTIF(C82:AG82,"Garantizado")/31</f>
        <v>0</v>
      </c>
    </row>
    <row r="83" spans="1:38" x14ac:dyDescent="0.25">
      <c r="A83" s="69"/>
      <c r="B83" s="25" t="s">
        <v>519</v>
      </c>
      <c r="C83" s="36" t="str" cm="1">
        <f t="array" ref="C83">IFERROR(INDEX(FORECAST!$D$12:$D$475, MATCH(1, INDEX((ISNUMBER(SEARCH($B83, FORECAST!$A$12:$A$475))) * (INT(FORECAST!$B$12:$B$475) &lt;= C$81) * (INT(FORECAST!$C$12:$C$475) &gt;= C$81), 0), 0)), "")</f>
        <v>Tentativo</v>
      </c>
      <c r="D83" s="36" t="str" cm="1">
        <f t="array" ref="D83">IFERROR(INDEX(FORECAST!$D$12:$D$475, MATCH(1, INDEX((ISNUMBER(SEARCH($B83, FORECAST!$A$12:$A$475))) * (INT(FORECAST!$B$12:$B$475) &lt;= D$81) * (INT(FORECAST!$C$12:$C$475) &gt;= D$81), 0), 0)), "")</f>
        <v>Tentativo</v>
      </c>
      <c r="E83" s="36" t="str" cm="1">
        <f t="array" ref="E83">IFERROR(INDEX(FORECAST!$D$12:$D$475, MATCH(1, INDEX((ISNUMBER(SEARCH($B83, FORECAST!$A$12:$A$475))) * (INT(FORECAST!$B$12:$B$475) &lt;= E$81) * (INT(FORECAST!$C$12:$C$475) &gt;= E$81), 0), 0)), "")</f>
        <v>Tentativo</v>
      </c>
      <c r="F83" s="36" t="str" cm="1">
        <f t="array" ref="F83">IFERROR(INDEX(FORECAST!$D$12:$D$475, MATCH(1, INDEX((ISNUMBER(SEARCH($B83, FORECAST!$A$12:$A$475))) * (INT(FORECAST!$B$12:$B$475) &lt;= F$81) * (INT(FORECAST!$C$12:$C$475) &gt;= F$81), 0), 0)), "")</f>
        <v>Tentativo</v>
      </c>
      <c r="G83" s="36" t="str" cm="1">
        <f t="array" ref="G83">IFERROR(INDEX(FORECAST!$D$12:$D$475, MATCH(1, INDEX((ISNUMBER(SEARCH($B83, FORECAST!$A$12:$A$475))) * (INT(FORECAST!$B$12:$B$475) &lt;= G$81) * (INT(FORECAST!$C$12:$C$475) &gt;= G$81), 0), 0)), "")</f>
        <v>Tentativo</v>
      </c>
      <c r="H83" s="36" t="str" cm="1">
        <f t="array" ref="H83">IFERROR(INDEX(FORECAST!$D$12:$D$475, MATCH(1, INDEX((ISNUMBER(SEARCH($B83, FORECAST!$A$12:$A$475))) * (INT(FORECAST!$B$12:$B$475) &lt;= H$81) * (INT(FORECAST!$C$12:$C$475) &gt;= H$81), 0), 0)), "")</f>
        <v>Tentativo</v>
      </c>
      <c r="I83" s="36" t="str" cm="1">
        <f t="array" ref="I83">IFERROR(INDEX(FORECAST!$D$12:$D$475, MATCH(1, INDEX((ISNUMBER(SEARCH($B83, FORECAST!$A$12:$A$475))) * (INT(FORECAST!$B$12:$B$475) &lt;= I$81) * (INT(FORECAST!$C$12:$C$475) &gt;= I$81), 0), 0)), "")</f>
        <v>Tentativo</v>
      </c>
      <c r="J83" s="36" t="str" cm="1">
        <f t="array" ref="J83">IFERROR(INDEX(FORECAST!$D$12:$D$475, MATCH(1, INDEX((ISNUMBER(SEARCH($B83, FORECAST!$A$12:$A$475))) * (INT(FORECAST!$B$12:$B$475) &lt;= J$81) * (INT(FORECAST!$C$12:$C$475) &gt;= J$81), 0), 0)), "")</f>
        <v/>
      </c>
      <c r="K83" s="36" t="str" cm="1">
        <f t="array" ref="K83">IFERROR(INDEX(FORECAST!$D$12:$D$475, MATCH(1, INDEX((ISNUMBER(SEARCH($B83, FORECAST!$A$12:$A$475))) * (INT(FORECAST!$B$12:$B$475) &lt;= K$81) * (INT(FORECAST!$C$12:$C$475) &gt;= K$81), 0), 0)), "")</f>
        <v>Tentativo</v>
      </c>
      <c r="L83" s="36" t="str" cm="1">
        <f t="array" ref="L83">IFERROR(INDEX(FORECAST!$D$12:$D$475, MATCH(1, INDEX((ISNUMBER(SEARCH($B83, FORECAST!$A$12:$A$475))) * (INT(FORECAST!$B$12:$B$475) &lt;= L$81) * (INT(FORECAST!$C$12:$C$475) &gt;= L$81), 0), 0)), "")</f>
        <v>Tentativo</v>
      </c>
      <c r="M83" s="36" t="str" cm="1">
        <f t="array" ref="M83">IFERROR(INDEX(FORECAST!$D$12:$D$475, MATCH(1, INDEX((ISNUMBER(SEARCH($B83, FORECAST!$A$12:$A$475))) * (INT(FORECAST!$B$12:$B$475) &lt;= M$81) * (INT(FORECAST!$C$12:$C$475) &gt;= M$81), 0), 0)), "")</f>
        <v>Tentativo</v>
      </c>
      <c r="N83" s="36" t="str" cm="1">
        <f t="array" ref="N83">IFERROR(INDEX(FORECAST!$D$12:$D$475, MATCH(1, INDEX((ISNUMBER(SEARCH($B83, FORECAST!$A$12:$A$475))) * (INT(FORECAST!$B$12:$B$475) &lt;= N$81) * (INT(FORECAST!$C$12:$C$475) &gt;= N$81), 0), 0)), "")</f>
        <v>Tentativo</v>
      </c>
      <c r="O83" s="36" t="str" cm="1">
        <f t="array" ref="O83">IFERROR(INDEX(FORECAST!$D$12:$D$475, MATCH(1, INDEX((ISNUMBER(SEARCH($B83, FORECAST!$A$12:$A$475))) * (INT(FORECAST!$B$12:$B$475) &lt;= O$81) * (INT(FORECAST!$C$12:$C$475) &gt;= O$81), 0), 0)), "")</f>
        <v>Tentativo</v>
      </c>
      <c r="P83" s="36" t="str" cm="1">
        <f t="array" ref="P83">IFERROR(INDEX(FORECAST!$D$12:$D$475, MATCH(1, INDEX((ISNUMBER(SEARCH($B83, FORECAST!$A$12:$A$475))) * (INT(FORECAST!$B$12:$B$475) &lt;= P$81) * (INT(FORECAST!$C$12:$C$475) &gt;= P$81), 0), 0)), "")</f>
        <v>Tentativo</v>
      </c>
      <c r="Q83" s="36" t="str" cm="1">
        <f t="array" ref="Q83">IFERROR(INDEX(FORECAST!$D$12:$D$475, MATCH(1, INDEX((ISNUMBER(SEARCH($B83, FORECAST!$A$12:$A$475))) * (INT(FORECAST!$B$12:$B$475) &lt;= Q$81) * (INT(FORECAST!$C$12:$C$475) &gt;= Q$81), 0), 0)), "")</f>
        <v>Tentativo</v>
      </c>
      <c r="R83" s="36" t="str" cm="1">
        <f t="array" ref="R83">IFERROR(INDEX(FORECAST!$D$12:$D$475, MATCH(1, INDEX((ISNUMBER(SEARCH($B83, FORECAST!$A$12:$A$475))) * (INT(FORECAST!$B$12:$B$475) &lt;= R$81) * (INT(FORECAST!$C$12:$C$475) &gt;= R$81), 0), 0)), "")</f>
        <v/>
      </c>
      <c r="S83" s="36" t="str" cm="1">
        <f t="array" ref="S83">IFERROR(INDEX(FORECAST!$D$12:$D$475, MATCH(1, INDEX((ISNUMBER(SEARCH($B83, FORECAST!$A$12:$A$475))) * (INT(FORECAST!$B$12:$B$475) &lt;= S$81) * (INT(FORECAST!$C$12:$C$475) &gt;= S$81), 0), 0)), "")</f>
        <v/>
      </c>
      <c r="T83" s="36" t="str" cm="1">
        <f t="array" ref="T83">IFERROR(INDEX(FORECAST!$D$12:$D$475, MATCH(1, INDEX((ISNUMBER(SEARCH($B83, FORECAST!$A$12:$A$475))) * (INT(FORECAST!$B$12:$B$475) &lt;= T$81) * (INT(FORECAST!$C$12:$C$475) &gt;= T$81), 0), 0)), "")</f>
        <v/>
      </c>
      <c r="U83" s="36" t="str" cm="1">
        <f t="array" ref="U83">IFERROR(INDEX(FORECAST!$D$12:$D$475, MATCH(1, INDEX((ISNUMBER(SEARCH($B83, FORECAST!$A$12:$A$475))) * (INT(FORECAST!$B$12:$B$475) &lt;= U$81) * (INT(FORECAST!$C$12:$C$475) &gt;= U$81), 0), 0)), "")</f>
        <v/>
      </c>
      <c r="V83" s="36" t="str" cm="1">
        <f t="array" ref="V83">IFERROR(INDEX(FORECAST!$D$12:$D$475, MATCH(1, INDEX((ISNUMBER(SEARCH($B83, FORECAST!$A$12:$A$475))) * (INT(FORECAST!$B$12:$B$475) &lt;= V$81) * (INT(FORECAST!$C$12:$C$475) &gt;= V$81), 0), 0)), "")</f>
        <v/>
      </c>
      <c r="W83" s="36" t="str" cm="1">
        <f t="array" ref="W83">IFERROR(INDEX(FORECAST!$D$12:$D$475, MATCH(1, INDEX((ISNUMBER(SEARCH($B83, FORECAST!$A$12:$A$475))) * (INT(FORECAST!$B$12:$B$475) &lt;= W$81) * (INT(FORECAST!$C$12:$C$475) &gt;= W$81), 0), 0)), "")</f>
        <v/>
      </c>
      <c r="X83" s="36" t="str" cm="1">
        <f t="array" ref="X83">IFERROR(INDEX(FORECAST!$D$12:$D$475, MATCH(1, INDEX((ISNUMBER(SEARCH($B83, FORECAST!$A$12:$A$475))) * (INT(FORECAST!$B$12:$B$475) &lt;= X$81) * (INT(FORECAST!$C$12:$C$475) &gt;= X$81), 0), 0)), "")</f>
        <v/>
      </c>
      <c r="Y83" s="36" t="str" cm="1">
        <f t="array" ref="Y83">IFERROR(INDEX(FORECAST!$D$12:$D$475, MATCH(1, INDEX((ISNUMBER(SEARCH($B83, FORECAST!$A$12:$A$475))) * (INT(FORECAST!$B$12:$B$475) &lt;= Y$81) * (INT(FORECAST!$C$12:$C$475) &gt;= Y$81), 0), 0)), "")</f>
        <v/>
      </c>
      <c r="Z83" s="36" t="str" cm="1">
        <f t="array" ref="Z83">IFERROR(INDEX(FORECAST!$D$12:$D$475, MATCH(1, INDEX((ISNUMBER(SEARCH($B83, FORECAST!$A$12:$A$475))) * (INT(FORECAST!$B$12:$B$475) &lt;= Z$81) * (INT(FORECAST!$C$12:$C$475) &gt;= Z$81), 0), 0)), "")</f>
        <v/>
      </c>
      <c r="AA83" s="36" t="str" cm="1">
        <f t="array" ref="AA83">IFERROR(INDEX(FORECAST!$D$12:$D$475, MATCH(1, INDEX((ISNUMBER(SEARCH($B83, FORECAST!$A$12:$A$475))) * (INT(FORECAST!$B$12:$B$475) &lt;= AA$81) * (INT(FORECAST!$C$12:$C$475) &gt;= AA$81), 0), 0)), "")</f>
        <v/>
      </c>
      <c r="AB83" s="36" t="str" cm="1">
        <f t="array" ref="AB83">IFERROR(INDEX(FORECAST!$D$12:$D$475, MATCH(1, INDEX((ISNUMBER(SEARCH($B83, FORECAST!$A$12:$A$475))) * (INT(FORECAST!$B$12:$B$475) &lt;= AB$81) * (INT(FORECAST!$C$12:$C$475) &gt;= AB$81), 0), 0)), "")</f>
        <v/>
      </c>
      <c r="AC83" s="36" t="str" cm="1">
        <f t="array" ref="AC83">IFERROR(INDEX(FORECAST!$D$12:$D$475, MATCH(1, INDEX((ISNUMBER(SEARCH($B83, FORECAST!$A$12:$A$475))) * (INT(FORECAST!$B$12:$B$475) &lt;= AC$81) * (INT(FORECAST!$C$12:$C$475) &gt;= AC$81), 0), 0)), "")</f>
        <v/>
      </c>
      <c r="AD83" s="36" t="str" cm="1">
        <f t="array" ref="AD83">IFERROR(INDEX(FORECAST!$D$12:$D$475, MATCH(1, INDEX((ISNUMBER(SEARCH($B83, FORECAST!$A$12:$A$475))) * (INT(FORECAST!$B$12:$B$475) &lt;= AD$81) * (INT(FORECAST!$C$12:$C$475) &gt;= AD$81), 0), 0)), "")</f>
        <v/>
      </c>
      <c r="AE83" s="36" t="str" cm="1">
        <f t="array" ref="AE83">IFERROR(INDEX(FORECAST!$D$12:$D$475, MATCH(1, INDEX((ISNUMBER(SEARCH($B83, FORECAST!$A$12:$A$475))) * (INT(FORECAST!$B$12:$B$475) &lt;= AE$81) * (INT(FORECAST!$C$12:$C$475) &gt;= AE$81), 0), 0)), "")</f>
        <v>Tentativo</v>
      </c>
      <c r="AF83" s="36" t="str" cm="1">
        <f t="array" ref="AF83">IFERROR(INDEX(FORECAST!$D$12:$D$475, MATCH(1, INDEX((ISNUMBER(SEARCH($B83, FORECAST!$A$12:$A$475))) * (INT(FORECAST!$B$12:$B$475) &lt;= AF$81) * (INT(FORECAST!$C$12:$C$475) &gt;= AF$81), 0), 0)), "")</f>
        <v>Tentativo</v>
      </c>
      <c r="AG83" s="36" t="str" cm="1">
        <f t="array" ref="AG83">IFERROR(INDEX(FORECAST!$D$12:$D$475, MATCH(1, INDEX((ISNUMBER(SEARCH($B83, FORECAST!$A$12:$A$475))) * (INT(FORECAST!$B$12:$B$475) &lt;= AG$81) * (INT(FORECAST!$C$12:$C$475) &gt;= AG$81), 0), 0)), "")</f>
        <v>Tentativo</v>
      </c>
      <c r="AH83" s="9"/>
      <c r="AI83" s="2"/>
      <c r="AJ83" s="45">
        <f t="shared" ref="AJ83:AJ89" si="6">COUNTIF(C83:AG83,"Garantizado")/31</f>
        <v>0</v>
      </c>
      <c r="AL83" s="30" t="s">
        <v>520</v>
      </c>
    </row>
    <row r="84" spans="1:38" x14ac:dyDescent="0.25">
      <c r="A84" s="69"/>
      <c r="B84" s="25" t="s">
        <v>279</v>
      </c>
      <c r="C84" s="36" t="str" cm="1">
        <f t="array" ref="C84">IFERROR(INDEX(FORECAST!$D$12:$D$475, MATCH(1, INDEX((ISNUMBER(SEARCH($B84, FORECAST!$A$12:$A$475))) * (INT(FORECAST!$B$12:$B$475) &lt;= C$81) * (INT(FORECAST!$C$12:$C$475) &gt;= C$81), 0), 0)), "")</f>
        <v>Tentativo</v>
      </c>
      <c r="D84" s="36" t="str" cm="1">
        <f t="array" ref="D84">IFERROR(INDEX(FORECAST!$D$12:$D$475, MATCH(1, INDEX((ISNUMBER(SEARCH($B84, FORECAST!$A$12:$A$475))) * (INT(FORECAST!$B$12:$B$475) &lt;= D$81) * (INT(FORECAST!$C$12:$C$475) &gt;= D$81), 0), 0)), "")</f>
        <v>Tentativo</v>
      </c>
      <c r="E84" s="36" t="str" cm="1">
        <f t="array" ref="E84">IFERROR(INDEX(FORECAST!$D$12:$D$475, MATCH(1, INDEX((ISNUMBER(SEARCH($B84, FORECAST!$A$12:$A$475))) * (INT(FORECAST!$B$12:$B$475) &lt;= E$81) * (INT(FORECAST!$C$12:$C$475) &gt;= E$81), 0), 0)), "")</f>
        <v/>
      </c>
      <c r="F84" s="36" t="str" cm="1">
        <f t="array" ref="F84">IFERROR(INDEX(FORECAST!$D$12:$D$475, MATCH(1, INDEX((ISNUMBER(SEARCH($B84, FORECAST!$A$12:$A$475))) * (INT(FORECAST!$B$12:$B$475) &lt;= F$81) * (INT(FORECAST!$C$12:$C$475) &gt;= F$81), 0), 0)), "")</f>
        <v/>
      </c>
      <c r="G84" s="36" t="str" cm="1">
        <f t="array" ref="G84">IFERROR(INDEX(FORECAST!$D$12:$D$475, MATCH(1, INDEX((ISNUMBER(SEARCH($B84, FORECAST!$A$12:$A$475))) * (INT(FORECAST!$B$12:$B$475) &lt;= G$81) * (INT(FORECAST!$C$12:$C$475) &gt;= G$81), 0), 0)), "")</f>
        <v/>
      </c>
      <c r="H84" s="36" t="str" cm="1">
        <f t="array" ref="H84">IFERROR(INDEX(FORECAST!$D$12:$D$475, MATCH(1, INDEX((ISNUMBER(SEARCH($B84, FORECAST!$A$12:$A$475))) * (INT(FORECAST!$B$12:$B$475) &lt;= H$81) * (INT(FORECAST!$C$12:$C$475) &gt;= H$81), 0), 0)), "")</f>
        <v/>
      </c>
      <c r="I84" s="36" t="str" cm="1">
        <f t="array" ref="I84">IFERROR(INDEX(FORECAST!$D$12:$D$475, MATCH(1, INDEX((ISNUMBER(SEARCH($B84, FORECAST!$A$12:$A$475))) * (INT(FORECAST!$B$12:$B$475) &lt;= I$81) * (INT(FORECAST!$C$12:$C$475) &gt;= I$81), 0), 0)), "")</f>
        <v/>
      </c>
      <c r="J84" s="36" t="str" cm="1">
        <f t="array" ref="J84">IFERROR(INDEX(FORECAST!$D$12:$D$475, MATCH(1, INDEX((ISNUMBER(SEARCH($B84, FORECAST!$A$12:$A$475))) * (INT(FORECAST!$B$12:$B$475) &lt;= J$81) * (INT(FORECAST!$C$12:$C$475) &gt;= J$81), 0), 0)), "")</f>
        <v/>
      </c>
      <c r="K84" s="36" t="str" cm="1">
        <f t="array" ref="K84">IFERROR(INDEX(FORECAST!$D$12:$D$475, MATCH(1, INDEX((ISNUMBER(SEARCH($B84, FORECAST!$A$12:$A$475))) * (INT(FORECAST!$B$12:$B$475) &lt;= K$81) * (INT(FORECAST!$C$12:$C$475) &gt;= K$81), 0), 0)), "")</f>
        <v/>
      </c>
      <c r="L84" s="36" t="str" cm="1">
        <f t="array" ref="L84">IFERROR(INDEX(FORECAST!$D$12:$D$475, MATCH(1, INDEX((ISNUMBER(SEARCH($B84, FORECAST!$A$12:$A$475))) * (INT(FORECAST!$B$12:$B$475) &lt;= L$81) * (INT(FORECAST!$C$12:$C$475) &gt;= L$81), 0), 0)), "")</f>
        <v/>
      </c>
      <c r="M84" s="36" t="str" cm="1">
        <f t="array" ref="M84">IFERROR(INDEX(FORECAST!$D$12:$D$475, MATCH(1, INDEX((ISNUMBER(SEARCH($B84, FORECAST!$A$12:$A$475))) * (INT(FORECAST!$B$12:$B$475) &lt;= M$81) * (INT(FORECAST!$C$12:$C$475) &gt;= M$81), 0), 0)), "")</f>
        <v/>
      </c>
      <c r="N84" s="36" t="str" cm="1">
        <f t="array" ref="N84">IFERROR(INDEX(FORECAST!$D$12:$D$475, MATCH(1, INDEX((ISNUMBER(SEARCH($B84, FORECAST!$A$12:$A$475))) * (INT(FORECAST!$B$12:$B$475) &lt;= N$81) * (INT(FORECAST!$C$12:$C$475) &gt;= N$81), 0), 0)), "")</f>
        <v/>
      </c>
      <c r="O84" s="36" t="str" cm="1">
        <f t="array" ref="O84">IFERROR(INDEX(FORECAST!$D$12:$D$475, MATCH(1, INDEX((ISNUMBER(SEARCH($B84, FORECAST!$A$12:$A$475))) * (INT(FORECAST!$B$12:$B$475) &lt;= O$81) * (INT(FORECAST!$C$12:$C$475) &gt;= O$81), 0), 0)), "")</f>
        <v/>
      </c>
      <c r="P84" s="36" t="str" cm="1">
        <f t="array" ref="P84">IFERROR(INDEX(FORECAST!$D$12:$D$475, MATCH(1, INDEX((ISNUMBER(SEARCH($B84, FORECAST!$A$12:$A$475))) * (INT(FORECAST!$B$12:$B$475) &lt;= P$81) * (INT(FORECAST!$C$12:$C$475) &gt;= P$81), 0), 0)), "")</f>
        <v/>
      </c>
      <c r="Q84" s="36" t="str" cm="1">
        <f t="array" ref="Q84">IFERROR(INDEX(FORECAST!$D$12:$D$475, MATCH(1, INDEX((ISNUMBER(SEARCH($B84, FORECAST!$A$12:$A$475))) * (INT(FORECAST!$B$12:$B$475) &lt;= Q$81) * (INT(FORECAST!$C$12:$C$475) &gt;= Q$81), 0), 0)), "")</f>
        <v/>
      </c>
      <c r="R84" s="36" t="str" cm="1">
        <f t="array" ref="R84">IFERROR(INDEX(FORECAST!$D$12:$D$475, MATCH(1, INDEX((ISNUMBER(SEARCH($B84, FORECAST!$A$12:$A$475))) * (INT(FORECAST!$B$12:$B$475) &lt;= R$81) * (INT(FORECAST!$C$12:$C$475) &gt;= R$81), 0), 0)), "")</f>
        <v/>
      </c>
      <c r="S84" s="36" t="str" cm="1">
        <f t="array" ref="S84">IFERROR(INDEX(FORECAST!$D$12:$D$475, MATCH(1, INDEX((ISNUMBER(SEARCH($B84, FORECAST!$A$12:$A$475))) * (INT(FORECAST!$B$12:$B$475) &lt;= S$81) * (INT(FORECAST!$C$12:$C$475) &gt;= S$81), 0), 0)), "")</f>
        <v/>
      </c>
      <c r="T84" s="36" t="str" cm="1">
        <f t="array" ref="T84">IFERROR(INDEX(FORECAST!$D$12:$D$475, MATCH(1, INDEX((ISNUMBER(SEARCH($B84, FORECAST!$A$12:$A$475))) * (INT(FORECAST!$B$12:$B$475) &lt;= T$81) * (INT(FORECAST!$C$12:$C$475) &gt;= T$81), 0), 0)), "")</f>
        <v/>
      </c>
      <c r="U84" s="36" t="str" cm="1">
        <f t="array" ref="U84">IFERROR(INDEX(FORECAST!$D$12:$D$475, MATCH(1, INDEX((ISNUMBER(SEARCH($B84, FORECAST!$A$12:$A$475))) * (INT(FORECAST!$B$12:$B$475) &lt;= U$81) * (INT(FORECAST!$C$12:$C$475) &gt;= U$81), 0), 0)), "")</f>
        <v/>
      </c>
      <c r="V84" s="36" t="str" cm="1">
        <f t="array" ref="V84">IFERROR(INDEX(FORECAST!$D$12:$D$475, MATCH(1, INDEX((ISNUMBER(SEARCH($B84, FORECAST!$A$12:$A$475))) * (INT(FORECAST!$B$12:$B$475) &lt;= V$81) * (INT(FORECAST!$C$12:$C$475) &gt;= V$81), 0), 0)), "")</f>
        <v/>
      </c>
      <c r="W84" s="36" t="str" cm="1">
        <f t="array" ref="W84">IFERROR(INDEX(FORECAST!$D$12:$D$475, MATCH(1, INDEX((ISNUMBER(SEARCH($B84, FORECAST!$A$12:$A$475))) * (INT(FORECAST!$B$12:$B$475) &lt;= W$81) * (INT(FORECAST!$C$12:$C$475) &gt;= W$81), 0), 0)), "")</f>
        <v/>
      </c>
      <c r="X84" s="36" t="str" cm="1">
        <f t="array" ref="X84">IFERROR(INDEX(FORECAST!$D$12:$D$475, MATCH(1, INDEX((ISNUMBER(SEARCH($B84, FORECAST!$A$12:$A$475))) * (INT(FORECAST!$B$12:$B$475) &lt;= X$81) * (INT(FORECAST!$C$12:$C$475) &gt;= X$81), 0), 0)), "")</f>
        <v/>
      </c>
      <c r="Y84" s="36" t="str" cm="1">
        <f t="array" ref="Y84">IFERROR(INDEX(FORECAST!$D$12:$D$475, MATCH(1, INDEX((ISNUMBER(SEARCH($B84, FORECAST!$A$12:$A$475))) * (INT(FORECAST!$B$12:$B$475) &lt;= Y$81) * (INT(FORECAST!$C$12:$C$475) &gt;= Y$81), 0), 0)), "")</f>
        <v/>
      </c>
      <c r="Z84" s="36" t="str" cm="1">
        <f t="array" ref="Z84">IFERROR(INDEX(FORECAST!$D$12:$D$475, MATCH(1, INDEX((ISNUMBER(SEARCH($B84, FORECAST!$A$12:$A$475))) * (INT(FORECAST!$B$12:$B$475) &lt;= Z$81) * (INT(FORECAST!$C$12:$C$475) &gt;= Z$81), 0), 0)), "")</f>
        <v/>
      </c>
      <c r="AA84" s="36" t="str" cm="1">
        <f t="array" ref="AA84">IFERROR(INDEX(FORECAST!$D$12:$D$475, MATCH(1, INDEX((ISNUMBER(SEARCH($B84, FORECAST!$A$12:$A$475))) * (INT(FORECAST!$B$12:$B$475) &lt;= AA$81) * (INT(FORECAST!$C$12:$C$475) &gt;= AA$81), 0), 0)), "")</f>
        <v/>
      </c>
      <c r="AB84" s="36" t="str" cm="1">
        <f t="array" ref="AB84">IFERROR(INDEX(FORECAST!$D$12:$D$475, MATCH(1, INDEX((ISNUMBER(SEARCH($B84, FORECAST!$A$12:$A$475))) * (INT(FORECAST!$B$12:$B$475) &lt;= AB$81) * (INT(FORECAST!$C$12:$C$475) &gt;= AB$81), 0), 0)), "")</f>
        <v/>
      </c>
      <c r="AC84" s="36" t="str" cm="1">
        <f t="array" ref="AC84">IFERROR(INDEX(FORECAST!$D$12:$D$475, MATCH(1, INDEX((ISNUMBER(SEARCH($B84, FORECAST!$A$12:$A$475))) * (INT(FORECAST!$B$12:$B$475) &lt;= AC$81) * (INT(FORECAST!$C$12:$C$475) &gt;= AC$81), 0), 0)), "")</f>
        <v/>
      </c>
      <c r="AD84" s="36" t="str" cm="1">
        <f t="array" ref="AD84">IFERROR(INDEX(FORECAST!$D$12:$D$475, MATCH(1, INDEX((ISNUMBER(SEARCH($B84, FORECAST!$A$12:$A$475))) * (INT(FORECAST!$B$12:$B$475) &lt;= AD$81) * (INT(FORECAST!$C$12:$C$475) &gt;= AD$81), 0), 0)), "")</f>
        <v/>
      </c>
      <c r="AE84" s="36" t="str" cm="1">
        <f t="array" ref="AE84">IFERROR(INDEX(FORECAST!$D$12:$D$475, MATCH(1, INDEX((ISNUMBER(SEARCH($B84, FORECAST!$A$12:$A$475))) * (INT(FORECAST!$B$12:$B$475) &lt;= AE$81) * (INT(FORECAST!$C$12:$C$475) &gt;= AE$81), 0), 0)), "")</f>
        <v>Tentativo</v>
      </c>
      <c r="AF84" s="36" t="str" cm="1">
        <f t="array" ref="AF84">IFERROR(INDEX(FORECAST!$D$12:$D$475, MATCH(1, INDEX((ISNUMBER(SEARCH($B84, FORECAST!$A$12:$A$475))) * (INT(FORECAST!$B$12:$B$475) &lt;= AF$81) * (INT(FORECAST!$C$12:$C$475) &gt;= AF$81), 0), 0)), "")</f>
        <v>Tentativo</v>
      </c>
      <c r="AG84" s="36" t="str" cm="1">
        <f t="array" ref="AG84">IFERROR(INDEX(FORECAST!$D$12:$D$475, MATCH(1, INDEX((ISNUMBER(SEARCH($B84, FORECAST!$A$12:$A$475))) * (INT(FORECAST!$B$12:$B$475) &lt;= AG$81) * (INT(FORECAST!$C$12:$C$475) &gt;= AG$81), 0), 0)), "")</f>
        <v>Tentativo</v>
      </c>
      <c r="AH84" s="9"/>
      <c r="AI84" s="2"/>
      <c r="AJ84" s="45">
        <f t="shared" si="6"/>
        <v>0</v>
      </c>
      <c r="AL84" s="45">
        <f>COUNTIF('PLANNING 2026'!C82:AG88,"Garantizado")/COUNTA('PLANNING 2026'!C82:AG88)</f>
        <v>1.3824884792626729E-2</v>
      </c>
    </row>
    <row r="85" spans="1:38" x14ac:dyDescent="0.25">
      <c r="A85" s="69"/>
      <c r="B85" s="25" t="s">
        <v>521</v>
      </c>
      <c r="C85" s="36" t="str" cm="1">
        <f t="array" ref="C85">IFERROR(INDEX(FORECAST!$D$12:$D$475, MATCH(1, INDEX((ISNUMBER(SEARCH($B85, FORECAST!$A$12:$A$475))) * (INT(FORECAST!$B$12:$B$475) &lt;= C$81) * (INT(FORECAST!$C$12:$C$475) &gt;= C$81), 0), 0)), "")</f>
        <v/>
      </c>
      <c r="D85" s="36" t="str" cm="1">
        <f t="array" ref="D85">IFERROR(INDEX(FORECAST!$D$12:$D$475, MATCH(1, INDEX((ISNUMBER(SEARCH($B85, FORECAST!$A$12:$A$475))) * (INT(FORECAST!$B$12:$B$475) &lt;= D$81) * (INT(FORECAST!$C$12:$C$475) &gt;= D$81), 0), 0)), "")</f>
        <v/>
      </c>
      <c r="E85" s="36" t="str" cm="1">
        <f t="array" ref="E85">IFERROR(INDEX(FORECAST!$D$12:$D$475, MATCH(1, INDEX((ISNUMBER(SEARCH($B85, FORECAST!$A$12:$A$475))) * (INT(FORECAST!$B$12:$B$475) &lt;= E$81) * (INT(FORECAST!$C$12:$C$475) &gt;= E$81), 0), 0)), "")</f>
        <v/>
      </c>
      <c r="F85" s="36" t="str" cm="1">
        <f t="array" ref="F85">IFERROR(INDEX(FORECAST!$D$12:$D$475, MATCH(1, INDEX((ISNUMBER(SEARCH($B85, FORECAST!$A$12:$A$475))) * (INT(FORECAST!$B$12:$B$475) &lt;= F$81) * (INT(FORECAST!$C$12:$C$475) &gt;= F$81), 0), 0)), "")</f>
        <v>Garantizado</v>
      </c>
      <c r="G85" s="36" t="str" cm="1">
        <f t="array" ref="G85">IFERROR(INDEX(FORECAST!$D$12:$D$475, MATCH(1, INDEX((ISNUMBER(SEARCH($B85, FORECAST!$A$12:$A$475))) * (INT(FORECAST!$B$12:$B$475) &lt;= G$81) * (INT(FORECAST!$C$12:$C$475) &gt;= G$81), 0), 0)), "")</f>
        <v>Presupuesto</v>
      </c>
      <c r="H85" s="36" t="str" cm="1">
        <f t="array" ref="H85">IFERROR(INDEX(FORECAST!$D$12:$D$475, MATCH(1, INDEX((ISNUMBER(SEARCH($B85, FORECAST!$A$12:$A$475))) * (INT(FORECAST!$B$12:$B$475) &lt;= H$81) * (INT(FORECAST!$C$12:$C$475) &gt;= H$81), 0), 0)), "")</f>
        <v>Presupuesto</v>
      </c>
      <c r="I85" s="36" t="str" cm="1">
        <f t="array" ref="I85">IFERROR(INDEX(FORECAST!$D$12:$D$475, MATCH(1, INDEX((ISNUMBER(SEARCH($B85, FORECAST!$A$12:$A$475))) * (INT(FORECAST!$B$12:$B$475) &lt;= I$81) * (INT(FORECAST!$C$12:$C$475) &gt;= I$81), 0), 0)), "")</f>
        <v>Presupuesto</v>
      </c>
      <c r="J85" s="36" t="str" cm="1">
        <f t="array" ref="J85">IFERROR(INDEX(FORECAST!$D$12:$D$475, MATCH(1, INDEX((ISNUMBER(SEARCH($B85, FORECAST!$A$12:$A$475))) * (INT(FORECAST!$B$12:$B$475) &lt;= J$81) * (INT(FORECAST!$C$12:$C$475) &gt;= J$81), 0), 0)), "")</f>
        <v/>
      </c>
      <c r="K85" s="36" t="str" cm="1">
        <f t="array" ref="K85">IFERROR(INDEX(FORECAST!$D$12:$D$475, MATCH(1, INDEX((ISNUMBER(SEARCH($B85, FORECAST!$A$12:$A$475))) * (INT(FORECAST!$B$12:$B$475) &lt;= K$81) * (INT(FORECAST!$C$12:$C$475) &gt;= K$81), 0), 0)), "")</f>
        <v/>
      </c>
      <c r="L85" s="36" t="str" cm="1">
        <f t="array" ref="L85">IFERROR(INDEX(FORECAST!$D$12:$D$475, MATCH(1, INDEX((ISNUMBER(SEARCH($B85, FORECAST!$A$12:$A$475))) * (INT(FORECAST!$B$12:$B$475) &lt;= L$81) * (INT(FORECAST!$C$12:$C$475) &gt;= L$81), 0), 0)), "")</f>
        <v/>
      </c>
      <c r="M85" s="36" t="str" cm="1">
        <f t="array" ref="M85">IFERROR(INDEX(FORECAST!$D$12:$D$475, MATCH(1, INDEX((ISNUMBER(SEARCH($B85, FORECAST!$A$12:$A$475))) * (INT(FORECAST!$B$12:$B$475) &lt;= M$81) * (INT(FORECAST!$C$12:$C$475) &gt;= M$81), 0), 0)), "")</f>
        <v/>
      </c>
      <c r="N85" s="36" t="str" cm="1">
        <f t="array" ref="N85">IFERROR(INDEX(FORECAST!$D$12:$D$475, MATCH(1, INDEX((ISNUMBER(SEARCH($B85, FORECAST!$A$12:$A$475))) * (INT(FORECAST!$B$12:$B$475) &lt;= N$81) * (INT(FORECAST!$C$12:$C$475) &gt;= N$81), 0), 0)), "")</f>
        <v/>
      </c>
      <c r="O85" s="36" t="str" cm="1">
        <f t="array" ref="O85">IFERROR(INDEX(FORECAST!$D$12:$D$475, MATCH(1, INDEX((ISNUMBER(SEARCH($B85, FORECAST!$A$12:$A$475))) * (INT(FORECAST!$B$12:$B$475) &lt;= O$81) * (INT(FORECAST!$C$12:$C$475) &gt;= O$81), 0), 0)), "")</f>
        <v/>
      </c>
      <c r="P85" s="36" t="str" cm="1">
        <f t="array" ref="P85">IFERROR(INDEX(FORECAST!$D$12:$D$475, MATCH(1, INDEX((ISNUMBER(SEARCH($B85, FORECAST!$A$12:$A$475))) * (INT(FORECAST!$B$12:$B$475) &lt;= P$81) * (INT(FORECAST!$C$12:$C$475) &gt;= P$81), 0), 0)), "")</f>
        <v/>
      </c>
      <c r="Q85" s="36" t="str" cm="1">
        <f t="array" ref="Q85">IFERROR(INDEX(FORECAST!$D$12:$D$475, MATCH(1, INDEX((ISNUMBER(SEARCH($B85, FORECAST!$A$12:$A$475))) * (INT(FORECAST!$B$12:$B$475) &lt;= Q$81) * (INT(FORECAST!$C$12:$C$475) &gt;= Q$81), 0), 0)), "")</f>
        <v/>
      </c>
      <c r="R85" s="36" t="str" cm="1">
        <f t="array" ref="R85">IFERROR(INDEX(FORECAST!$D$12:$D$475, MATCH(1, INDEX((ISNUMBER(SEARCH($B85, FORECAST!$A$12:$A$475))) * (INT(FORECAST!$B$12:$B$475) &lt;= R$81) * (INT(FORECAST!$C$12:$C$475) &gt;= R$81), 0), 0)), "")</f>
        <v/>
      </c>
      <c r="S85" s="36" t="str" cm="1">
        <f t="array" ref="S85">IFERROR(INDEX(FORECAST!$D$12:$D$475, MATCH(1, INDEX((ISNUMBER(SEARCH($B85, FORECAST!$A$12:$A$475))) * (INT(FORECAST!$B$12:$B$475) &lt;= S$81) * (INT(FORECAST!$C$12:$C$475) &gt;= S$81), 0), 0)), "")</f>
        <v/>
      </c>
      <c r="T85" s="36" t="str" cm="1">
        <f t="array" ref="T85">IFERROR(INDEX(FORECAST!$D$12:$D$475, MATCH(1, INDEX((ISNUMBER(SEARCH($B85, FORECAST!$A$12:$A$475))) * (INT(FORECAST!$B$12:$B$475) &lt;= T$81) * (INT(FORECAST!$C$12:$C$475) &gt;= T$81), 0), 0)), "")</f>
        <v/>
      </c>
      <c r="U85" s="36" t="str" cm="1">
        <f t="array" ref="U85">IFERROR(INDEX(FORECAST!$D$12:$D$475, MATCH(1, INDEX((ISNUMBER(SEARCH($B85, FORECAST!$A$12:$A$475))) * (INT(FORECAST!$B$12:$B$475) &lt;= U$81) * (INT(FORECAST!$C$12:$C$475) &gt;= U$81), 0), 0)), "")</f>
        <v/>
      </c>
      <c r="V85" s="36" t="str" cm="1">
        <f t="array" ref="V85">IFERROR(INDEX(FORECAST!$D$12:$D$475, MATCH(1, INDEX((ISNUMBER(SEARCH($B85, FORECAST!$A$12:$A$475))) * (INT(FORECAST!$B$12:$B$475) &lt;= V$81) * (INT(FORECAST!$C$12:$C$475) &gt;= V$81), 0), 0)), "")</f>
        <v/>
      </c>
      <c r="W85" s="36" t="str" cm="1">
        <f t="array" ref="W85">IFERROR(INDEX(FORECAST!$D$12:$D$475, MATCH(1, INDEX((ISNUMBER(SEARCH($B85, FORECAST!$A$12:$A$475))) * (INT(FORECAST!$B$12:$B$475) &lt;= W$81) * (INT(FORECAST!$C$12:$C$475) &gt;= W$81), 0), 0)), "")</f>
        <v/>
      </c>
      <c r="X85" s="36" t="str" cm="1">
        <f t="array" ref="X85">IFERROR(INDEX(FORECAST!$D$12:$D$475, MATCH(1, INDEX((ISNUMBER(SEARCH($B85, FORECAST!$A$12:$A$475))) * (INT(FORECAST!$B$12:$B$475) &lt;= X$81) * (INT(FORECAST!$C$12:$C$475) &gt;= X$81), 0), 0)), "")</f>
        <v/>
      </c>
      <c r="Y85" s="36" t="str" cm="1">
        <f t="array" ref="Y85">IFERROR(INDEX(FORECAST!$D$12:$D$475, MATCH(1, INDEX((ISNUMBER(SEARCH($B85, FORECAST!$A$12:$A$475))) * (INT(FORECAST!$B$12:$B$475) &lt;= Y$81) * (INT(FORECAST!$C$12:$C$475) &gt;= Y$81), 0), 0)), "")</f>
        <v/>
      </c>
      <c r="Z85" s="36" t="str" cm="1">
        <f t="array" ref="Z85">IFERROR(INDEX(FORECAST!$D$12:$D$475, MATCH(1, INDEX((ISNUMBER(SEARCH($B85, FORECAST!$A$12:$A$475))) * (INT(FORECAST!$B$12:$B$475) &lt;= Z$81) * (INT(FORECAST!$C$12:$C$475) &gt;= Z$81), 0), 0)), "")</f>
        <v/>
      </c>
      <c r="AA85" s="36" t="str" cm="1">
        <f t="array" ref="AA85">IFERROR(INDEX(FORECAST!$D$12:$D$475, MATCH(1, INDEX((ISNUMBER(SEARCH($B85, FORECAST!$A$12:$A$475))) * (INT(FORECAST!$B$12:$B$475) &lt;= AA$81) * (INT(FORECAST!$C$12:$C$475) &gt;= AA$81), 0), 0)), "")</f>
        <v/>
      </c>
      <c r="AB85" s="36" t="str" cm="1">
        <f t="array" ref="AB85">IFERROR(INDEX(FORECAST!$D$12:$D$475, MATCH(1, INDEX((ISNUMBER(SEARCH($B85, FORECAST!$A$12:$A$475))) * (INT(FORECAST!$B$12:$B$475) &lt;= AB$81) * (INT(FORECAST!$C$12:$C$475) &gt;= AB$81), 0), 0)), "")</f>
        <v/>
      </c>
      <c r="AC85" s="36" t="str" cm="1">
        <f t="array" ref="AC85">IFERROR(INDEX(FORECAST!$D$12:$D$475, MATCH(1, INDEX((ISNUMBER(SEARCH($B85, FORECAST!$A$12:$A$475))) * (INT(FORECAST!$B$12:$B$475) &lt;= AC$81) * (INT(FORECAST!$C$12:$C$475) &gt;= AC$81), 0), 0)), "")</f>
        <v/>
      </c>
      <c r="AD85" s="36" t="str" cm="1">
        <f t="array" ref="AD85">IFERROR(INDEX(FORECAST!$D$12:$D$475, MATCH(1, INDEX((ISNUMBER(SEARCH($B85, FORECAST!$A$12:$A$475))) * (INT(FORECAST!$B$12:$B$475) &lt;= AD$81) * (INT(FORECAST!$C$12:$C$475) &gt;= AD$81), 0), 0)), "")</f>
        <v/>
      </c>
      <c r="AE85" s="36" t="str" cm="1">
        <f t="array" ref="AE85">IFERROR(INDEX(FORECAST!$D$12:$D$475, MATCH(1, INDEX((ISNUMBER(SEARCH($B85, FORECAST!$A$12:$A$475))) * (INT(FORECAST!$B$12:$B$475) &lt;= AE$81) * (INT(FORECAST!$C$12:$C$475) &gt;= AE$81), 0), 0)), "")</f>
        <v/>
      </c>
      <c r="AF85" s="36" t="str" cm="1">
        <f t="array" ref="AF85">IFERROR(INDEX(FORECAST!$D$12:$D$475, MATCH(1, INDEX((ISNUMBER(SEARCH($B85, FORECAST!$A$12:$A$475))) * (INT(FORECAST!$B$12:$B$475) &lt;= AF$81) * (INT(FORECAST!$C$12:$C$475) &gt;= AF$81), 0), 0)), "")</f>
        <v/>
      </c>
      <c r="AG85" s="36" t="str" cm="1">
        <f t="array" ref="AG85">IFERROR(INDEX(FORECAST!$D$12:$D$475, MATCH(1, INDEX((ISNUMBER(SEARCH($B85, FORECAST!$A$12:$A$475))) * (INT(FORECAST!$B$12:$B$475) &lt;= AG$81) * (INT(FORECAST!$C$12:$C$475) &gt;= AG$81), 0), 0)), "")</f>
        <v/>
      </c>
      <c r="AH85" s="9"/>
      <c r="AI85" s="2"/>
      <c r="AJ85" s="45">
        <f t="shared" si="6"/>
        <v>3.2258064516129031E-2</v>
      </c>
    </row>
    <row r="86" spans="1:38" x14ac:dyDescent="0.25">
      <c r="A86" s="69"/>
      <c r="B86" s="25" t="s">
        <v>522</v>
      </c>
      <c r="C86" s="36" t="str" cm="1">
        <f t="array" ref="C86">IFERROR(INDEX(FORECAST!$D$12:$D$475, MATCH(1, INDEX((ISNUMBER(SEARCH($B86, FORECAST!$A$12:$A$475))) * (INT(FORECAST!$B$12:$B$475) &lt;= C$81) * (INT(FORECAST!$C$12:$C$475) &gt;= C$81), 0), 0)), "")</f>
        <v/>
      </c>
      <c r="D86" s="36" t="str" cm="1">
        <f t="array" ref="D86">IFERROR(INDEX(FORECAST!$D$12:$D$475, MATCH(1, INDEX((ISNUMBER(SEARCH($B86, FORECAST!$A$12:$A$475))) * (INT(FORECAST!$B$12:$B$475) &lt;= D$81) * (INT(FORECAST!$C$12:$C$475) &gt;= D$81), 0), 0)), "")</f>
        <v/>
      </c>
      <c r="E86" s="36" t="str" cm="1">
        <f t="array" ref="E86">IFERROR(INDEX(FORECAST!$D$12:$D$475, MATCH(1, INDEX((ISNUMBER(SEARCH($B86, FORECAST!$A$12:$A$475))) * (INT(FORECAST!$B$12:$B$475) &lt;= E$81) * (INT(FORECAST!$C$12:$C$475) &gt;= E$81), 0), 0)), "")</f>
        <v/>
      </c>
      <c r="F86" s="36" t="str" cm="1">
        <f t="array" ref="F86">IFERROR(INDEX(FORECAST!$D$12:$D$475, MATCH(1, INDEX((ISNUMBER(SEARCH($B86, FORECAST!$A$12:$A$475))) * (INT(FORECAST!$B$12:$B$475) &lt;= F$81) * (INT(FORECAST!$C$12:$C$475) &gt;= F$81), 0), 0)), "")</f>
        <v/>
      </c>
      <c r="G86" s="36" t="str" cm="1">
        <f t="array" ref="G86">IFERROR(INDEX(FORECAST!$D$12:$D$475, MATCH(1, INDEX((ISNUMBER(SEARCH($B86, FORECAST!$A$12:$A$475))) * (INT(FORECAST!$B$12:$B$475) &lt;= G$81) * (INT(FORECAST!$C$12:$C$475) &gt;= G$81), 0), 0)), "")</f>
        <v>Presupuesto</v>
      </c>
      <c r="H86" s="36" t="str" cm="1">
        <f t="array" ref="H86">IFERROR(INDEX(FORECAST!$D$12:$D$475, MATCH(1, INDEX((ISNUMBER(SEARCH($B86, FORECAST!$A$12:$A$475))) * (INT(FORECAST!$B$12:$B$475) &lt;= H$81) * (INT(FORECAST!$C$12:$C$475) &gt;= H$81), 0), 0)), "")</f>
        <v>Presupuesto</v>
      </c>
      <c r="I86" s="36" t="str" cm="1">
        <f t="array" ref="I86">IFERROR(INDEX(FORECAST!$D$12:$D$475, MATCH(1, INDEX((ISNUMBER(SEARCH($B86, FORECAST!$A$12:$A$475))) * (INT(FORECAST!$B$12:$B$475) &lt;= I$81) * (INT(FORECAST!$C$12:$C$475) &gt;= I$81), 0), 0)), "")</f>
        <v>Presupuesto</v>
      </c>
      <c r="J86" s="36" t="str" cm="1">
        <f t="array" ref="J86">IFERROR(INDEX(FORECAST!$D$12:$D$475, MATCH(1, INDEX((ISNUMBER(SEARCH($B86, FORECAST!$A$12:$A$475))) * (INT(FORECAST!$B$12:$B$475) &lt;= J$81) * (INT(FORECAST!$C$12:$C$475) &gt;= J$81), 0), 0)), "")</f>
        <v/>
      </c>
      <c r="K86" s="36" t="str" cm="1">
        <f t="array" ref="K86">IFERROR(INDEX(FORECAST!$D$12:$D$475, MATCH(1, INDEX((ISNUMBER(SEARCH($B86, FORECAST!$A$12:$A$475))) * (INT(FORECAST!$B$12:$B$475) &lt;= K$81) * (INT(FORECAST!$C$12:$C$475) &gt;= K$81), 0), 0)), "")</f>
        <v/>
      </c>
      <c r="L86" s="36" t="str" cm="1">
        <f t="array" ref="L86">IFERROR(INDEX(FORECAST!$D$12:$D$475, MATCH(1, INDEX((ISNUMBER(SEARCH($B86, FORECAST!$A$12:$A$475))) * (INT(FORECAST!$B$12:$B$475) &lt;= L$81) * (INT(FORECAST!$C$12:$C$475) &gt;= L$81), 0), 0)), "")</f>
        <v/>
      </c>
      <c r="M86" s="36" t="str" cm="1">
        <f t="array" ref="M86">IFERROR(INDEX(FORECAST!$D$12:$D$475, MATCH(1, INDEX((ISNUMBER(SEARCH($B86, FORECAST!$A$12:$A$475))) * (INT(FORECAST!$B$12:$B$475) &lt;= M$81) * (INT(FORECAST!$C$12:$C$475) &gt;= M$81), 0), 0)), "")</f>
        <v/>
      </c>
      <c r="N86" s="36" t="str" cm="1">
        <f t="array" ref="N86">IFERROR(INDEX(FORECAST!$D$12:$D$475, MATCH(1, INDEX((ISNUMBER(SEARCH($B86, FORECAST!$A$12:$A$475))) * (INT(FORECAST!$B$12:$B$475) &lt;= N$81) * (INT(FORECAST!$C$12:$C$475) &gt;= N$81), 0), 0)), "")</f>
        <v/>
      </c>
      <c r="O86" s="36" t="str" cm="1">
        <f t="array" ref="O86">IFERROR(INDEX(FORECAST!$D$12:$D$475, MATCH(1, INDEX((ISNUMBER(SEARCH($B86, FORECAST!$A$12:$A$475))) * (INT(FORECAST!$B$12:$B$475) &lt;= O$81) * (INT(FORECAST!$C$12:$C$475) &gt;= O$81), 0), 0)), "")</f>
        <v/>
      </c>
      <c r="P86" s="36" t="str" cm="1">
        <f t="array" ref="P86">IFERROR(INDEX(FORECAST!$D$12:$D$475, MATCH(1, INDEX((ISNUMBER(SEARCH($B86, FORECAST!$A$12:$A$475))) * (INT(FORECAST!$B$12:$B$475) &lt;= P$81) * (INT(FORECAST!$C$12:$C$475) &gt;= P$81), 0), 0)), "")</f>
        <v/>
      </c>
      <c r="Q86" s="36" t="str" cm="1">
        <f t="array" ref="Q86">IFERROR(INDEX(FORECAST!$D$12:$D$475, MATCH(1, INDEX((ISNUMBER(SEARCH($B86, FORECAST!$A$12:$A$475))) * (INT(FORECAST!$B$12:$B$475) &lt;= Q$81) * (INT(FORECAST!$C$12:$C$475) &gt;= Q$81), 0), 0)), "")</f>
        <v/>
      </c>
      <c r="R86" s="36" t="str" cm="1">
        <f t="array" ref="R86">IFERROR(INDEX(FORECAST!$D$12:$D$475, MATCH(1, INDEX((ISNUMBER(SEARCH($B86, FORECAST!$A$12:$A$475))) * (INT(FORECAST!$B$12:$B$475) &lt;= R$81) * (INT(FORECAST!$C$12:$C$475) &gt;= R$81), 0), 0)), "")</f>
        <v/>
      </c>
      <c r="S86" s="36" t="str" cm="1">
        <f t="array" ref="S86">IFERROR(INDEX(FORECAST!$D$12:$D$475, MATCH(1, INDEX((ISNUMBER(SEARCH($B86, FORECAST!$A$12:$A$475))) * (INT(FORECAST!$B$12:$B$475) &lt;= S$81) * (INT(FORECAST!$C$12:$C$475) &gt;= S$81), 0), 0)), "")</f>
        <v/>
      </c>
      <c r="T86" s="36" t="str" cm="1">
        <f t="array" ref="T86">IFERROR(INDEX(FORECAST!$D$12:$D$475, MATCH(1, INDEX((ISNUMBER(SEARCH($B86, FORECAST!$A$12:$A$475))) * (INT(FORECAST!$B$12:$B$475) &lt;= T$81) * (INT(FORECAST!$C$12:$C$475) &gt;= T$81), 0), 0)), "")</f>
        <v/>
      </c>
      <c r="U86" s="36" t="str" cm="1">
        <f t="array" ref="U86">IFERROR(INDEX(FORECAST!$D$12:$D$475, MATCH(1, INDEX((ISNUMBER(SEARCH($B86, FORECAST!$A$12:$A$475))) * (INT(FORECAST!$B$12:$B$475) &lt;= U$81) * (INT(FORECAST!$C$12:$C$475) &gt;= U$81), 0), 0)), "")</f>
        <v/>
      </c>
      <c r="V86" s="36" t="str" cm="1">
        <f t="array" ref="V86">IFERROR(INDEX(FORECAST!$D$12:$D$475, MATCH(1, INDEX((ISNUMBER(SEARCH($B86, FORECAST!$A$12:$A$475))) * (INT(FORECAST!$B$12:$B$475) &lt;= V$81) * (INT(FORECAST!$C$12:$C$475) &gt;= V$81), 0), 0)), "")</f>
        <v/>
      </c>
      <c r="W86" s="36" t="str" cm="1">
        <f t="array" ref="W86">IFERROR(INDEX(FORECAST!$D$12:$D$475, MATCH(1, INDEX((ISNUMBER(SEARCH($B86, FORECAST!$A$12:$A$475))) * (INT(FORECAST!$B$12:$B$475) &lt;= W$81) * (INT(FORECAST!$C$12:$C$475) &gt;= W$81), 0), 0)), "")</f>
        <v/>
      </c>
      <c r="X86" s="36" t="str" cm="1">
        <f t="array" ref="X86">IFERROR(INDEX(FORECAST!$D$12:$D$475, MATCH(1, INDEX((ISNUMBER(SEARCH($B86, FORECAST!$A$12:$A$475))) * (INT(FORECAST!$B$12:$B$475) &lt;= X$81) * (INT(FORECAST!$C$12:$C$475) &gt;= X$81), 0), 0)), "")</f>
        <v/>
      </c>
      <c r="Y86" s="36" t="str" cm="1">
        <f t="array" ref="Y86">IFERROR(INDEX(FORECAST!$D$12:$D$475, MATCH(1, INDEX((ISNUMBER(SEARCH($B86, FORECAST!$A$12:$A$475))) * (INT(FORECAST!$B$12:$B$475) &lt;= Y$81) * (INT(FORECAST!$C$12:$C$475) &gt;= Y$81), 0), 0)), "")</f>
        <v/>
      </c>
      <c r="Z86" s="36" t="str" cm="1">
        <f t="array" ref="Z86">IFERROR(INDEX(FORECAST!$D$12:$D$475, MATCH(1, INDEX((ISNUMBER(SEARCH($B86, FORECAST!$A$12:$A$475))) * (INT(FORECAST!$B$12:$B$475) &lt;= Z$81) * (INT(FORECAST!$C$12:$C$475) &gt;= Z$81), 0), 0)), "")</f>
        <v/>
      </c>
      <c r="AA86" s="36" t="str" cm="1">
        <f t="array" ref="AA86">IFERROR(INDEX(FORECAST!$D$12:$D$475, MATCH(1, INDEX((ISNUMBER(SEARCH($B86, FORECAST!$A$12:$A$475))) * (INT(FORECAST!$B$12:$B$475) &lt;= AA$81) * (INT(FORECAST!$C$12:$C$475) &gt;= AA$81), 0), 0)), "")</f>
        <v/>
      </c>
      <c r="AB86" s="36" t="str" cm="1">
        <f t="array" ref="AB86">IFERROR(INDEX(FORECAST!$D$12:$D$475, MATCH(1, INDEX((ISNUMBER(SEARCH($B86, FORECAST!$A$12:$A$475))) * (INT(FORECAST!$B$12:$B$475) &lt;= AB$81) * (INT(FORECAST!$C$12:$C$475) &gt;= AB$81), 0), 0)), "")</f>
        <v/>
      </c>
      <c r="AC86" s="36" t="str" cm="1">
        <f t="array" ref="AC86">IFERROR(INDEX(FORECAST!$D$12:$D$475, MATCH(1, INDEX((ISNUMBER(SEARCH($B86, FORECAST!$A$12:$A$475))) * (INT(FORECAST!$B$12:$B$475) &lt;= AC$81) * (INT(FORECAST!$C$12:$C$475) &gt;= AC$81), 0), 0)), "")</f>
        <v/>
      </c>
      <c r="AD86" s="36" t="str" cm="1">
        <f t="array" ref="AD86">IFERROR(INDEX(FORECAST!$D$12:$D$475, MATCH(1, INDEX((ISNUMBER(SEARCH($B86, FORECAST!$A$12:$A$475))) * (INT(FORECAST!$B$12:$B$475) &lt;= AD$81) * (INT(FORECAST!$C$12:$C$475) &gt;= AD$81), 0), 0)), "")</f>
        <v/>
      </c>
      <c r="AE86" s="36" t="str" cm="1">
        <f t="array" ref="AE86">IFERROR(INDEX(FORECAST!$D$12:$D$475, MATCH(1, INDEX((ISNUMBER(SEARCH($B86, FORECAST!$A$12:$A$475))) * (INT(FORECAST!$B$12:$B$475) &lt;= AE$81) * (INT(FORECAST!$C$12:$C$475) &gt;= AE$81), 0), 0)), "")</f>
        <v/>
      </c>
      <c r="AF86" s="36" t="str" cm="1">
        <f t="array" ref="AF86">IFERROR(INDEX(FORECAST!$D$12:$D$475, MATCH(1, INDEX((ISNUMBER(SEARCH($B86, FORECAST!$A$12:$A$475))) * (INT(FORECAST!$B$12:$B$475) &lt;= AF$81) * (INT(FORECAST!$C$12:$C$475) &gt;= AF$81), 0), 0)), "")</f>
        <v/>
      </c>
      <c r="AG86" s="36" t="str" cm="1">
        <f t="array" ref="AG86">IFERROR(INDEX(FORECAST!$D$12:$D$475, MATCH(1, INDEX((ISNUMBER(SEARCH($B86, FORECAST!$A$12:$A$475))) * (INT(FORECAST!$B$12:$B$475) &lt;= AG$81) * (INT(FORECAST!$C$12:$C$475) &gt;= AG$81), 0), 0)), "")</f>
        <v/>
      </c>
      <c r="AH86" s="9"/>
      <c r="AI86" s="2"/>
      <c r="AJ86" s="45">
        <f t="shared" si="6"/>
        <v>0</v>
      </c>
    </row>
    <row r="87" spans="1:38" x14ac:dyDescent="0.25">
      <c r="A87" s="69"/>
      <c r="B87" s="25" t="s">
        <v>523</v>
      </c>
      <c r="C87" s="36" t="str" cm="1">
        <f t="array" ref="C87">IFERROR(INDEX(FORECAST!$D$12:$D$475, MATCH(1, INDEX((ISNUMBER(SEARCH($B87, FORECAST!$A$12:$A$475))) * (INT(FORECAST!$B$12:$B$475) &lt;= C$81) * (INT(FORECAST!$C$12:$C$475) &gt;= C$81), 0), 0)), "")</f>
        <v>Tentativo</v>
      </c>
      <c r="D87" s="36" t="str" cm="1">
        <f t="array" ref="D87">IFERROR(INDEX(FORECAST!$D$12:$D$475, MATCH(1, INDEX((ISNUMBER(SEARCH($B87, FORECAST!$A$12:$A$475))) * (INT(FORECAST!$B$12:$B$475) &lt;= D$81) * (INT(FORECAST!$C$12:$C$475) &gt;= D$81), 0), 0)), "")</f>
        <v>Tentativo</v>
      </c>
      <c r="E87" s="36" t="str" cm="1">
        <f t="array" ref="E87">IFERROR(INDEX(FORECAST!$D$12:$D$475, MATCH(1, INDEX((ISNUMBER(SEARCH($B87, FORECAST!$A$12:$A$475))) * (INT(FORECAST!$B$12:$B$475) &lt;= E$81) * (INT(FORECAST!$C$12:$C$475) &gt;= E$81), 0), 0)), "")</f>
        <v>Presupuesto</v>
      </c>
      <c r="F87" s="36" t="str" cm="1">
        <f t="array" ref="F87">IFERROR(INDEX(FORECAST!$D$12:$D$475, MATCH(1, INDEX((ISNUMBER(SEARCH($B87, FORECAST!$A$12:$A$475))) * (INT(FORECAST!$B$12:$B$475) &lt;= F$81) * (INT(FORECAST!$C$12:$C$475) &gt;= F$81), 0), 0)), "")</f>
        <v>Presupuesto</v>
      </c>
      <c r="G87" s="36" t="str" cm="1">
        <f t="array" ref="G87">IFERROR(INDEX(FORECAST!$D$12:$D$475, MATCH(1, INDEX((ISNUMBER(SEARCH($B87, FORECAST!$A$12:$A$475))) * (INT(FORECAST!$B$12:$B$475) &lt;= G$81) * (INT(FORECAST!$C$12:$C$475) &gt;= G$81), 0), 0)), "")</f>
        <v/>
      </c>
      <c r="H87" s="36" t="str" cm="1">
        <f t="array" ref="H87">IFERROR(INDEX(FORECAST!$D$12:$D$475, MATCH(1, INDEX((ISNUMBER(SEARCH($B87, FORECAST!$A$12:$A$475))) * (INT(FORECAST!$B$12:$B$475) &lt;= H$81) * (INT(FORECAST!$C$12:$C$475) &gt;= H$81), 0), 0)), "")</f>
        <v/>
      </c>
      <c r="I87" s="36" t="str" cm="1">
        <f t="array" ref="I87">IFERROR(INDEX(FORECAST!$D$12:$D$475, MATCH(1, INDEX((ISNUMBER(SEARCH($B87, FORECAST!$A$12:$A$475))) * (INT(FORECAST!$B$12:$B$475) &lt;= I$81) * (INT(FORECAST!$C$12:$C$475) &gt;= I$81), 0), 0)), "")</f>
        <v/>
      </c>
      <c r="J87" s="36" t="str" cm="1">
        <f t="array" ref="J87">IFERROR(INDEX(FORECAST!$D$12:$D$475, MATCH(1, INDEX((ISNUMBER(SEARCH($B87, FORECAST!$A$12:$A$475))) * (INT(FORECAST!$B$12:$B$475) &lt;= J$81) * (INT(FORECAST!$C$12:$C$475) &gt;= J$81), 0), 0)), "")</f>
        <v/>
      </c>
      <c r="K87" s="36" t="str" cm="1">
        <f t="array" ref="K87">IFERROR(INDEX(FORECAST!$D$12:$D$475, MATCH(1, INDEX((ISNUMBER(SEARCH($B87, FORECAST!$A$12:$A$475))) * (INT(FORECAST!$B$12:$B$475) &lt;= K$81) * (INT(FORECAST!$C$12:$C$475) &gt;= K$81), 0), 0)), "")</f>
        <v/>
      </c>
      <c r="L87" s="36" t="str" cm="1">
        <f t="array" ref="L87">IFERROR(INDEX(FORECAST!$D$12:$D$475, MATCH(1, INDEX((ISNUMBER(SEARCH($B87, FORECAST!$A$12:$A$475))) * (INT(FORECAST!$B$12:$B$475) &lt;= L$81) * (INT(FORECAST!$C$12:$C$475) &gt;= L$81), 0), 0)), "")</f>
        <v/>
      </c>
      <c r="M87" s="36" t="str" cm="1">
        <f t="array" ref="M87">IFERROR(INDEX(FORECAST!$D$12:$D$475, MATCH(1, INDEX((ISNUMBER(SEARCH($B87, FORECAST!$A$12:$A$475))) * (INT(FORECAST!$B$12:$B$475) &lt;= M$81) * (INT(FORECAST!$C$12:$C$475) &gt;= M$81), 0), 0)), "")</f>
        <v/>
      </c>
      <c r="N87" s="36" t="str" cm="1">
        <f t="array" ref="N87">IFERROR(INDEX(FORECAST!$D$12:$D$475, MATCH(1, INDEX((ISNUMBER(SEARCH($B87, FORECAST!$A$12:$A$475))) * (INT(FORECAST!$B$12:$B$475) &lt;= N$81) * (INT(FORECAST!$C$12:$C$475) &gt;= N$81), 0), 0)), "")</f>
        <v/>
      </c>
      <c r="O87" s="36" t="str" cm="1">
        <f t="array" ref="O87">IFERROR(INDEX(FORECAST!$D$12:$D$475, MATCH(1, INDEX((ISNUMBER(SEARCH($B87, FORECAST!$A$12:$A$475))) * (INT(FORECAST!$B$12:$B$475) &lt;= O$81) * (INT(FORECAST!$C$12:$C$475) &gt;= O$81), 0), 0)), "")</f>
        <v/>
      </c>
      <c r="P87" s="36" t="str" cm="1">
        <f t="array" ref="P87">IFERROR(INDEX(FORECAST!$D$12:$D$475, MATCH(1, INDEX((ISNUMBER(SEARCH($B87, FORECAST!$A$12:$A$475))) * (INT(FORECAST!$B$12:$B$475) &lt;= P$81) * (INT(FORECAST!$C$12:$C$475) &gt;= P$81), 0), 0)), "")</f>
        <v/>
      </c>
      <c r="Q87" s="36" t="str" cm="1">
        <f t="array" ref="Q87">IFERROR(INDEX(FORECAST!$D$12:$D$475, MATCH(1, INDEX((ISNUMBER(SEARCH($B87, FORECAST!$A$12:$A$475))) * (INT(FORECAST!$B$12:$B$475) &lt;= Q$81) * (INT(FORECAST!$C$12:$C$475) &gt;= Q$81), 0), 0)), "")</f>
        <v/>
      </c>
      <c r="R87" s="36" t="str" cm="1">
        <f t="array" ref="R87">IFERROR(INDEX(FORECAST!$D$12:$D$475, MATCH(1, INDEX((ISNUMBER(SEARCH($B87, FORECAST!$A$12:$A$475))) * (INT(FORECAST!$B$12:$B$475) &lt;= R$81) * (INT(FORECAST!$C$12:$C$475) &gt;= R$81), 0), 0)), "")</f>
        <v/>
      </c>
      <c r="S87" s="36" t="str" cm="1">
        <f t="array" ref="S87">IFERROR(INDEX(FORECAST!$D$12:$D$475, MATCH(1, INDEX((ISNUMBER(SEARCH($B87, FORECAST!$A$12:$A$475))) * (INT(FORECAST!$B$12:$B$475) &lt;= S$81) * (INT(FORECAST!$C$12:$C$475) &gt;= S$81), 0), 0)), "")</f>
        <v/>
      </c>
      <c r="T87" s="36" t="str" cm="1">
        <f t="array" ref="T87">IFERROR(INDEX(FORECAST!$D$12:$D$475, MATCH(1, INDEX((ISNUMBER(SEARCH($B87, FORECAST!$A$12:$A$475))) * (INT(FORECAST!$B$12:$B$475) &lt;= T$81) * (INT(FORECAST!$C$12:$C$475) &gt;= T$81), 0), 0)), "")</f>
        <v>Garantizado</v>
      </c>
      <c r="U87" s="36" t="str" cm="1">
        <f t="array" ref="U87">IFERROR(INDEX(FORECAST!$D$12:$D$475, MATCH(1, INDEX((ISNUMBER(SEARCH($B87, FORECAST!$A$12:$A$475))) * (INT(FORECAST!$B$12:$B$475) &lt;= U$81) * (INT(FORECAST!$C$12:$C$475) &gt;= U$81), 0), 0)), "")</f>
        <v/>
      </c>
      <c r="V87" s="36" t="str" cm="1">
        <f t="array" ref="V87">IFERROR(INDEX(FORECAST!$D$12:$D$475, MATCH(1, INDEX((ISNUMBER(SEARCH($B87, FORECAST!$A$12:$A$475))) * (INT(FORECAST!$B$12:$B$475) &lt;= V$81) * (INT(FORECAST!$C$12:$C$475) &gt;= V$81), 0), 0)), "")</f>
        <v/>
      </c>
      <c r="W87" s="36" t="str" cm="1">
        <f t="array" ref="W87">IFERROR(INDEX(FORECAST!$D$12:$D$475, MATCH(1, INDEX((ISNUMBER(SEARCH($B87, FORECAST!$A$12:$A$475))) * (INT(FORECAST!$B$12:$B$475) &lt;= W$81) * (INT(FORECAST!$C$12:$C$475) &gt;= W$81), 0), 0)), "")</f>
        <v/>
      </c>
      <c r="X87" s="36" t="str" cm="1">
        <f t="array" ref="X87">IFERROR(INDEX(FORECAST!$D$12:$D$475, MATCH(1, INDEX((ISNUMBER(SEARCH($B87, FORECAST!$A$12:$A$475))) * (INT(FORECAST!$B$12:$B$475) &lt;= X$81) * (INT(FORECAST!$C$12:$C$475) &gt;= X$81), 0), 0)), "")</f>
        <v/>
      </c>
      <c r="Y87" s="36" t="str" cm="1">
        <f t="array" ref="Y87">IFERROR(INDEX(FORECAST!$D$12:$D$475, MATCH(1, INDEX((ISNUMBER(SEARCH($B87, FORECAST!$A$12:$A$475))) * (INT(FORECAST!$B$12:$B$475) &lt;= Y$81) * (INT(FORECAST!$C$12:$C$475) &gt;= Y$81), 0), 0)), "")</f>
        <v/>
      </c>
      <c r="Z87" s="36" t="str" cm="1">
        <f t="array" ref="Z87">IFERROR(INDEX(FORECAST!$D$12:$D$475, MATCH(1, INDEX((ISNUMBER(SEARCH($B87, FORECAST!$A$12:$A$475))) * (INT(FORECAST!$B$12:$B$475) &lt;= Z$81) * (INT(FORECAST!$C$12:$C$475) &gt;= Z$81), 0), 0)), "")</f>
        <v/>
      </c>
      <c r="AA87" s="36" t="str" cm="1">
        <f t="array" ref="AA87">IFERROR(INDEX(FORECAST!$D$12:$D$475, MATCH(1, INDEX((ISNUMBER(SEARCH($B87, FORECAST!$A$12:$A$475))) * (INT(FORECAST!$B$12:$B$475) &lt;= AA$81) * (INT(FORECAST!$C$12:$C$475) &gt;= AA$81), 0), 0)), "")</f>
        <v/>
      </c>
      <c r="AB87" s="36" t="str" cm="1">
        <f t="array" ref="AB87">IFERROR(INDEX(FORECAST!$D$12:$D$475, MATCH(1, INDEX((ISNUMBER(SEARCH($B87, FORECAST!$A$12:$A$475))) * (INT(FORECAST!$B$12:$B$475) &lt;= AB$81) * (INT(FORECAST!$C$12:$C$475) &gt;= AB$81), 0), 0)), "")</f>
        <v/>
      </c>
      <c r="AC87" s="36" t="str" cm="1">
        <f t="array" ref="AC87">IFERROR(INDEX(FORECAST!$D$12:$D$475, MATCH(1, INDEX((ISNUMBER(SEARCH($B87, FORECAST!$A$12:$A$475))) * (INT(FORECAST!$B$12:$B$475) &lt;= AC$81) * (INT(FORECAST!$C$12:$C$475) &gt;= AC$81), 0), 0)), "")</f>
        <v/>
      </c>
      <c r="AD87" s="36" t="str" cm="1">
        <f t="array" ref="AD87">IFERROR(INDEX(FORECAST!$D$12:$D$475, MATCH(1, INDEX((ISNUMBER(SEARCH($B87, FORECAST!$A$12:$A$475))) * (INT(FORECAST!$B$12:$B$475) &lt;= AD$81) * (INT(FORECAST!$C$12:$C$475) &gt;= AD$81), 0), 0)), "")</f>
        <v/>
      </c>
      <c r="AE87" s="36" t="str" cm="1">
        <f t="array" ref="AE87">IFERROR(INDEX(FORECAST!$D$12:$D$475, MATCH(1, INDEX((ISNUMBER(SEARCH($B87, FORECAST!$A$12:$A$475))) * (INT(FORECAST!$B$12:$B$475) &lt;= AE$81) * (INT(FORECAST!$C$12:$C$475) &gt;= AE$81), 0), 0)), "")</f>
        <v/>
      </c>
      <c r="AF87" s="36" t="str" cm="1">
        <f t="array" ref="AF87">IFERROR(INDEX(FORECAST!$D$12:$D$475, MATCH(1, INDEX((ISNUMBER(SEARCH($B87, FORECAST!$A$12:$A$475))) * (INT(FORECAST!$B$12:$B$475) &lt;= AF$81) * (INT(FORECAST!$C$12:$C$475) &gt;= AF$81), 0), 0)), "")</f>
        <v/>
      </c>
      <c r="AG87" s="36" t="str" cm="1">
        <f t="array" ref="AG87">IFERROR(INDEX(FORECAST!$D$12:$D$475, MATCH(1, INDEX((ISNUMBER(SEARCH($B87, FORECAST!$A$12:$A$475))) * (INT(FORECAST!$B$12:$B$475) &lt;= AG$81) * (INT(FORECAST!$C$12:$C$475) &gt;= AG$81), 0), 0)), "")</f>
        <v>Tentativo</v>
      </c>
      <c r="AH87" s="9"/>
      <c r="AI87" s="2"/>
      <c r="AJ87" s="45">
        <f t="shared" si="6"/>
        <v>3.2258064516129031E-2</v>
      </c>
    </row>
    <row r="88" spans="1:38" x14ac:dyDescent="0.25">
      <c r="A88" s="69"/>
      <c r="B88" s="25" t="s">
        <v>9</v>
      </c>
      <c r="C88" s="36" t="str" cm="1">
        <f t="array" ref="C88">IFERROR(INDEX(FORECAST!$D$12:$D$475, MATCH(1, INDEX((ISNUMBER(SEARCH($B88, FORECAST!$A$12:$A$475))) * (INT(FORECAST!$B$12:$B$475) &lt;= C$81) * (INT(FORECAST!$C$12:$C$475) &gt;= C$81), 0), 0)), "")</f>
        <v>Tentativo</v>
      </c>
      <c r="D88" s="36" t="str" cm="1">
        <f t="array" ref="D88">IFERROR(INDEX(FORECAST!$D$12:$D$475, MATCH(1, INDEX((ISNUMBER(SEARCH($B88, FORECAST!$A$12:$A$475))) * (INT(FORECAST!$B$12:$B$475) &lt;= D$81) * (INT(FORECAST!$C$12:$C$475) &gt;= D$81), 0), 0)), "")</f>
        <v>Tentativo</v>
      </c>
      <c r="E88" s="36" t="str" cm="1">
        <f t="array" ref="E88">IFERROR(INDEX(FORECAST!$D$12:$D$475, MATCH(1, INDEX((ISNUMBER(SEARCH($B88, FORECAST!$A$12:$A$475))) * (INT(FORECAST!$B$12:$B$475) &lt;= E$81) * (INT(FORECAST!$C$12:$C$475) &gt;= E$81), 0), 0)), "")</f>
        <v>Tentativo</v>
      </c>
      <c r="F88" s="36" t="str" cm="1">
        <f t="array" ref="F88">IFERROR(INDEX(FORECAST!$D$12:$D$475, MATCH(1, INDEX((ISNUMBER(SEARCH($B88, FORECAST!$A$12:$A$475))) * (INT(FORECAST!$B$12:$B$475) &lt;= F$81) * (INT(FORECAST!$C$12:$C$475) &gt;= F$81), 0), 0)), "")</f>
        <v>Tentativo</v>
      </c>
      <c r="G88" s="36" t="str" cm="1">
        <f t="array" ref="G88">IFERROR(INDEX(FORECAST!$D$12:$D$475, MATCH(1, INDEX((ISNUMBER(SEARCH($B88, FORECAST!$A$12:$A$475))) * (INT(FORECAST!$B$12:$B$475) &lt;= G$81) * (INT(FORECAST!$C$12:$C$475) &gt;= G$81), 0), 0)), "")</f>
        <v>Tentativo</v>
      </c>
      <c r="H88" s="36" t="str" cm="1">
        <f t="array" ref="H88">IFERROR(INDEX(FORECAST!$D$12:$D$475, MATCH(1, INDEX((ISNUMBER(SEARCH($B88, FORECAST!$A$12:$A$475))) * (INT(FORECAST!$B$12:$B$475) &lt;= H$81) * (INT(FORECAST!$C$12:$C$475) &gt;= H$81), 0), 0)), "")</f>
        <v/>
      </c>
      <c r="I88" s="36" t="str" cm="1">
        <f t="array" ref="I88">IFERROR(INDEX(FORECAST!$D$12:$D$475, MATCH(1, INDEX((ISNUMBER(SEARCH($B88, FORECAST!$A$12:$A$475))) * (INT(FORECAST!$B$12:$B$475) &lt;= I$81) * (INT(FORECAST!$C$12:$C$475) &gt;= I$81), 0), 0)), "")</f>
        <v/>
      </c>
      <c r="J88" s="36" t="str" cm="1">
        <f t="array" ref="J88">IFERROR(INDEX(FORECAST!$D$12:$D$475, MATCH(1, INDEX((ISNUMBER(SEARCH($B88, FORECAST!$A$12:$A$475))) * (INT(FORECAST!$B$12:$B$475) &lt;= J$81) * (INT(FORECAST!$C$12:$C$475) &gt;= J$81), 0), 0)), "")</f>
        <v/>
      </c>
      <c r="K88" s="36" t="str" cm="1">
        <f t="array" ref="K88">IFERROR(INDEX(FORECAST!$D$12:$D$475, MATCH(1, INDEX((ISNUMBER(SEARCH($B88, FORECAST!$A$12:$A$475))) * (INT(FORECAST!$B$12:$B$475) &lt;= K$81) * (INT(FORECAST!$C$12:$C$475) &gt;= K$81), 0), 0)), "")</f>
        <v/>
      </c>
      <c r="L88" s="36" t="str" cm="1">
        <f t="array" ref="L88">IFERROR(INDEX(FORECAST!$D$12:$D$475, MATCH(1, INDEX((ISNUMBER(SEARCH($B88, FORECAST!$A$12:$A$475))) * (INT(FORECAST!$B$12:$B$475) &lt;= L$81) * (INT(FORECAST!$C$12:$C$475) &gt;= L$81), 0), 0)), "")</f>
        <v>Garantizado</v>
      </c>
      <c r="M88" s="36" t="str" cm="1">
        <f t="array" ref="M88">IFERROR(INDEX(FORECAST!$D$12:$D$475, MATCH(1, INDEX((ISNUMBER(SEARCH($B88, FORECAST!$A$12:$A$475))) * (INT(FORECAST!$B$12:$B$475) &lt;= M$81) * (INT(FORECAST!$C$12:$C$475) &gt;= M$81), 0), 0)), "")</f>
        <v/>
      </c>
      <c r="N88" s="36" t="str" cm="1">
        <f t="array" ref="N88">IFERROR(INDEX(FORECAST!$D$12:$D$475, MATCH(1, INDEX((ISNUMBER(SEARCH($B88, FORECAST!$A$12:$A$475))) * (INT(FORECAST!$B$12:$B$475) &lt;= N$81) * (INT(FORECAST!$C$12:$C$475) &gt;= N$81), 0), 0)), "")</f>
        <v/>
      </c>
      <c r="O88" s="36" t="str" cm="1">
        <f t="array" ref="O88">IFERROR(INDEX(FORECAST!$D$12:$D$475, MATCH(1, INDEX((ISNUMBER(SEARCH($B88, FORECAST!$A$12:$A$475))) * (INT(FORECAST!$B$12:$B$475) &lt;= O$81) * (INT(FORECAST!$C$12:$C$475) &gt;= O$81), 0), 0)), "")</f>
        <v/>
      </c>
      <c r="P88" s="36" t="str" cm="1">
        <f t="array" ref="P88">IFERROR(INDEX(FORECAST!$D$12:$D$475, MATCH(1, INDEX((ISNUMBER(SEARCH($B88, FORECAST!$A$12:$A$475))) * (INT(FORECAST!$B$12:$B$475) &lt;= P$81) * (INT(FORECAST!$C$12:$C$475) &gt;= P$81), 0), 0)), "")</f>
        <v/>
      </c>
      <c r="Q88" s="36" t="str" cm="1">
        <f t="array" ref="Q88">IFERROR(INDEX(FORECAST!$D$12:$D$475, MATCH(1, INDEX((ISNUMBER(SEARCH($B88, FORECAST!$A$12:$A$475))) * (INT(FORECAST!$B$12:$B$475) &lt;= Q$81) * (INT(FORECAST!$C$12:$C$475) &gt;= Q$81), 0), 0)), "")</f>
        <v/>
      </c>
      <c r="R88" s="36" t="str" cm="1">
        <f t="array" ref="R88">IFERROR(INDEX(FORECAST!$D$12:$D$475, MATCH(1, INDEX((ISNUMBER(SEARCH($B88, FORECAST!$A$12:$A$475))) * (INT(FORECAST!$B$12:$B$475) &lt;= R$81) * (INT(FORECAST!$C$12:$C$475) &gt;= R$81), 0), 0)), "")</f>
        <v/>
      </c>
      <c r="S88" s="36" t="str" cm="1">
        <f t="array" ref="S88">IFERROR(INDEX(FORECAST!$D$12:$D$475, MATCH(1, INDEX((ISNUMBER(SEARCH($B88, FORECAST!$A$12:$A$475))) * (INT(FORECAST!$B$12:$B$475) &lt;= S$81) * (INT(FORECAST!$C$12:$C$475) &gt;= S$81), 0), 0)), "")</f>
        <v/>
      </c>
      <c r="T88" s="36" t="str" cm="1">
        <f t="array" ref="T88">IFERROR(INDEX(FORECAST!$D$12:$D$475, MATCH(1, INDEX((ISNUMBER(SEARCH($B88, FORECAST!$A$12:$A$475))) * (INT(FORECAST!$B$12:$B$475) &lt;= T$81) * (INT(FORECAST!$C$12:$C$475) &gt;= T$81), 0), 0)), "")</f>
        <v/>
      </c>
      <c r="U88" s="36" t="str" cm="1">
        <f t="array" ref="U88">IFERROR(INDEX(FORECAST!$D$12:$D$475, MATCH(1, INDEX((ISNUMBER(SEARCH($B88, FORECAST!$A$12:$A$475))) * (INT(FORECAST!$B$12:$B$475) &lt;= U$81) * (INT(FORECAST!$C$12:$C$475) &gt;= U$81), 0), 0)), "")</f>
        <v/>
      </c>
      <c r="V88" s="36" t="str" cm="1">
        <f t="array" ref="V88">IFERROR(INDEX(FORECAST!$D$12:$D$475, MATCH(1, INDEX((ISNUMBER(SEARCH($B88, FORECAST!$A$12:$A$475))) * (INT(FORECAST!$B$12:$B$475) &lt;= V$81) * (INT(FORECAST!$C$12:$C$475) &gt;= V$81), 0), 0)), "")</f>
        <v/>
      </c>
      <c r="W88" s="36" t="str" cm="1">
        <f t="array" ref="W88">IFERROR(INDEX(FORECAST!$D$12:$D$475, MATCH(1, INDEX((ISNUMBER(SEARCH($B88, FORECAST!$A$12:$A$475))) * (INT(FORECAST!$B$12:$B$475) &lt;= W$81) * (INT(FORECAST!$C$12:$C$475) &gt;= W$81), 0), 0)), "")</f>
        <v/>
      </c>
      <c r="X88" s="36" t="str" cm="1">
        <f t="array" ref="X88">IFERROR(INDEX(FORECAST!$D$12:$D$475, MATCH(1, INDEX((ISNUMBER(SEARCH($B88, FORECAST!$A$12:$A$475))) * (INT(FORECAST!$B$12:$B$475) &lt;= X$81) * (INT(FORECAST!$C$12:$C$475) &gt;= X$81), 0), 0)), "")</f>
        <v/>
      </c>
      <c r="Y88" s="36" t="str" cm="1">
        <f t="array" ref="Y88">IFERROR(INDEX(FORECAST!$D$12:$D$475, MATCH(1, INDEX((ISNUMBER(SEARCH($B88, FORECAST!$A$12:$A$475))) * (INT(FORECAST!$B$12:$B$475) &lt;= Y$81) * (INT(FORECAST!$C$12:$C$475) &gt;= Y$81), 0), 0)), "")</f>
        <v/>
      </c>
      <c r="Z88" s="36" t="str" cm="1">
        <f t="array" ref="Z88">IFERROR(INDEX(FORECAST!$D$12:$D$475, MATCH(1, INDEX((ISNUMBER(SEARCH($B88, FORECAST!$A$12:$A$475))) * (INT(FORECAST!$B$12:$B$475) &lt;= Z$81) * (INT(FORECAST!$C$12:$C$475) &gt;= Z$81), 0), 0)), "")</f>
        <v/>
      </c>
      <c r="AA88" s="36" t="str" cm="1">
        <f t="array" ref="AA88">IFERROR(INDEX(FORECAST!$D$12:$D$475, MATCH(1, INDEX((ISNUMBER(SEARCH($B88, FORECAST!$A$12:$A$475))) * (INT(FORECAST!$B$12:$B$475) &lt;= AA$81) * (INT(FORECAST!$C$12:$C$475) &gt;= AA$81), 0), 0)), "")</f>
        <v/>
      </c>
      <c r="AB88" s="36" t="str" cm="1">
        <f t="array" ref="AB88">IFERROR(INDEX(FORECAST!$D$12:$D$475, MATCH(1, INDEX((ISNUMBER(SEARCH($B88, FORECAST!$A$12:$A$475))) * (INT(FORECAST!$B$12:$B$475) &lt;= AB$81) * (INT(FORECAST!$C$12:$C$475) &gt;= AB$81), 0), 0)), "")</f>
        <v/>
      </c>
      <c r="AC88" s="36" t="str" cm="1">
        <f t="array" ref="AC88">IFERROR(INDEX(FORECAST!$D$12:$D$475, MATCH(1, INDEX((ISNUMBER(SEARCH($B88, FORECAST!$A$12:$A$475))) * (INT(FORECAST!$B$12:$B$475) &lt;= AC$81) * (INT(FORECAST!$C$12:$C$475) &gt;= AC$81), 0), 0)), "")</f>
        <v/>
      </c>
      <c r="AD88" s="36" t="str" cm="1">
        <f t="array" ref="AD88">IFERROR(INDEX(FORECAST!$D$12:$D$475, MATCH(1, INDEX((ISNUMBER(SEARCH($B88, FORECAST!$A$12:$A$475))) * (INT(FORECAST!$B$12:$B$475) &lt;= AD$81) * (INT(FORECAST!$C$12:$C$475) &gt;= AD$81), 0), 0)), "")</f>
        <v/>
      </c>
      <c r="AE88" s="36" t="str" cm="1">
        <f t="array" ref="AE88">IFERROR(INDEX(FORECAST!$D$12:$D$475, MATCH(1, INDEX((ISNUMBER(SEARCH($B88, FORECAST!$A$12:$A$475))) * (INT(FORECAST!$B$12:$B$475) &lt;= AE$81) * (INT(FORECAST!$C$12:$C$475) &gt;= AE$81), 0), 0)), "")</f>
        <v/>
      </c>
      <c r="AF88" s="36" t="str" cm="1">
        <f t="array" ref="AF88">IFERROR(INDEX(FORECAST!$D$12:$D$475, MATCH(1, INDEX((ISNUMBER(SEARCH($B88, FORECAST!$A$12:$A$475))) * (INT(FORECAST!$B$12:$B$475) &lt;= AF$81) * (INT(FORECAST!$C$12:$C$475) &gt;= AF$81), 0), 0)), "")</f>
        <v/>
      </c>
      <c r="AG88" s="36" t="str" cm="1">
        <f t="array" ref="AG88">IFERROR(INDEX(FORECAST!$D$12:$D$475, MATCH(1, INDEX((ISNUMBER(SEARCH($B88, FORECAST!$A$12:$A$475))) * (INT(FORECAST!$B$12:$B$475) &lt;= AG$81) * (INT(FORECAST!$C$12:$C$475) &gt;= AG$81), 0), 0)), "")</f>
        <v/>
      </c>
      <c r="AH88" s="9"/>
      <c r="AI88" s="2"/>
      <c r="AJ88" s="45">
        <f t="shared" si="6"/>
        <v>3.2258064516129031E-2</v>
      </c>
    </row>
    <row r="89" spans="1:38" x14ac:dyDescent="0.25">
      <c r="A89" s="69"/>
      <c r="B89" s="25" t="s">
        <v>80</v>
      </c>
      <c r="C89" s="36" t="str" cm="1">
        <f t="array" ref="C89">IFERROR(INDEX(FORECAST!$D$12:$D$475, MATCH(1, INDEX((ISNUMBER(SEARCH($B89, FORECAST!$A$12:$A$475))) * (INT(FORECAST!$B$12:$B$475) &lt;= C$81) * (INT(FORECAST!$C$12:$C$475) &gt;= C$81), 0), 0)), "")</f>
        <v>Tentativo</v>
      </c>
      <c r="D89" s="36" t="str" cm="1">
        <f t="array" ref="D89">IFERROR(INDEX(FORECAST!$D$12:$D$475, MATCH(1, INDEX((ISNUMBER(SEARCH($B89, FORECAST!$A$12:$A$475))) * (INT(FORECAST!$B$12:$B$475) &lt;= D$81) * (INT(FORECAST!$C$12:$C$475) &gt;= D$81), 0), 0)), "")</f>
        <v>Tentativo</v>
      </c>
      <c r="E89" s="36" t="str" cm="1">
        <f t="array" ref="E89">IFERROR(INDEX(FORECAST!$D$12:$D$475, MATCH(1, INDEX((ISNUMBER(SEARCH($B89, FORECAST!$A$12:$A$475))) * (INT(FORECAST!$B$12:$B$475) &lt;= E$81) * (INT(FORECAST!$C$12:$C$475) &gt;= E$81), 0), 0)), "")</f>
        <v>Tentativo</v>
      </c>
      <c r="F89" s="36" t="str" cm="1">
        <f t="array" ref="F89">IFERROR(INDEX(FORECAST!$D$12:$D$475, MATCH(1, INDEX((ISNUMBER(SEARCH($B89, FORECAST!$A$12:$A$475))) * (INT(FORECAST!$B$12:$B$475) &lt;= F$81) * (INT(FORECAST!$C$12:$C$475) &gt;= F$81), 0), 0)), "")</f>
        <v>Tentativo</v>
      </c>
      <c r="G89" s="36" t="str" cm="1">
        <f t="array" ref="G89">IFERROR(INDEX(FORECAST!$D$12:$D$475, MATCH(1, INDEX((ISNUMBER(SEARCH($B89, FORECAST!$A$12:$A$475))) * (INT(FORECAST!$B$12:$B$475) &lt;= G$81) * (INT(FORECAST!$C$12:$C$475) &gt;= G$81), 0), 0)), "")</f>
        <v>Tentativo</v>
      </c>
      <c r="H89" s="36" t="str" cm="1">
        <f t="array" ref="H89">IFERROR(INDEX(FORECAST!$D$12:$D$475, MATCH(1, INDEX((ISNUMBER(SEARCH($B89, FORECAST!$A$12:$A$475))) * (INT(FORECAST!$B$12:$B$475) &lt;= H$81) * (INT(FORECAST!$C$12:$C$475) &gt;= H$81), 0), 0)), "")</f>
        <v/>
      </c>
      <c r="I89" s="36" t="str" cm="1">
        <f t="array" ref="I89">IFERROR(INDEX(FORECAST!$D$12:$D$475, MATCH(1, INDEX((ISNUMBER(SEARCH($B89, FORECAST!$A$12:$A$475))) * (INT(FORECAST!$B$12:$B$475) &lt;= I$81) * (INT(FORECAST!$C$12:$C$475) &gt;= I$81), 0), 0)), "")</f>
        <v/>
      </c>
      <c r="J89" s="36" t="str" cm="1">
        <f t="array" ref="J89">IFERROR(INDEX(FORECAST!$D$12:$D$475, MATCH(1, INDEX((ISNUMBER(SEARCH($B89, FORECAST!$A$12:$A$475))) * (INT(FORECAST!$B$12:$B$475) &lt;= J$81) * (INT(FORECAST!$C$12:$C$475) &gt;= J$81), 0), 0)), "")</f>
        <v/>
      </c>
      <c r="K89" s="36" t="str" cm="1">
        <f t="array" ref="K89">IFERROR(INDEX(FORECAST!$D$12:$D$475, MATCH(1, INDEX((ISNUMBER(SEARCH($B89, FORECAST!$A$12:$A$475))) * (INT(FORECAST!$B$12:$B$475) &lt;= K$81) * (INT(FORECAST!$C$12:$C$475) &gt;= K$81), 0), 0)), "")</f>
        <v/>
      </c>
      <c r="L89" s="36" t="str" cm="1">
        <f t="array" ref="L89">IFERROR(INDEX(FORECAST!$D$12:$D$475, MATCH(1, INDEX((ISNUMBER(SEARCH($B89, FORECAST!$A$12:$A$475))) * (INT(FORECAST!$B$12:$B$475) &lt;= L$81) * (INT(FORECAST!$C$12:$C$475) &gt;= L$81), 0), 0)), "")</f>
        <v/>
      </c>
      <c r="M89" s="36" t="str" cm="1">
        <f t="array" ref="M89">IFERROR(INDEX(FORECAST!$D$12:$D$475, MATCH(1, INDEX((ISNUMBER(SEARCH($B89, FORECAST!$A$12:$A$475))) * (INT(FORECAST!$B$12:$B$475) &lt;= M$81) * (INT(FORECAST!$C$12:$C$475) &gt;= M$81), 0), 0)), "")</f>
        <v/>
      </c>
      <c r="N89" s="36" t="str" cm="1">
        <f t="array" ref="N89">IFERROR(INDEX(FORECAST!$D$12:$D$475, MATCH(1, INDEX((ISNUMBER(SEARCH($B89, FORECAST!$A$12:$A$475))) * (INT(FORECAST!$B$12:$B$475) &lt;= N$81) * (INT(FORECAST!$C$12:$C$475) &gt;= N$81), 0), 0)), "")</f>
        <v/>
      </c>
      <c r="O89" s="36" t="str" cm="1">
        <f t="array" ref="O89">IFERROR(INDEX(FORECAST!$D$12:$D$475, MATCH(1, INDEX((ISNUMBER(SEARCH($B89, FORECAST!$A$12:$A$475))) * (INT(FORECAST!$B$12:$B$475) &lt;= O$81) * (INT(FORECAST!$C$12:$C$475) &gt;= O$81), 0), 0)), "")</f>
        <v/>
      </c>
      <c r="P89" s="36" t="str" cm="1">
        <f t="array" ref="P89">IFERROR(INDEX(FORECAST!$D$12:$D$475, MATCH(1, INDEX((ISNUMBER(SEARCH($B89, FORECAST!$A$12:$A$475))) * (INT(FORECAST!$B$12:$B$475) &lt;= P$81) * (INT(FORECAST!$C$12:$C$475) &gt;= P$81), 0), 0)), "")</f>
        <v/>
      </c>
      <c r="Q89" s="36" t="str" cm="1">
        <f t="array" ref="Q89">IFERROR(INDEX(FORECAST!$D$12:$D$475, MATCH(1, INDEX((ISNUMBER(SEARCH($B89, FORECAST!$A$12:$A$475))) * (INT(FORECAST!$B$12:$B$475) &lt;= Q$81) * (INT(FORECAST!$C$12:$C$475) &gt;= Q$81), 0), 0)), "")</f>
        <v/>
      </c>
      <c r="R89" s="36" t="str" cm="1">
        <f t="array" ref="R89">IFERROR(INDEX(FORECAST!$D$12:$D$475, MATCH(1, INDEX((ISNUMBER(SEARCH($B89, FORECAST!$A$12:$A$475))) * (INT(FORECAST!$B$12:$B$475) &lt;= R$81) * (INT(FORECAST!$C$12:$C$475) &gt;= R$81), 0), 0)), "")</f>
        <v/>
      </c>
      <c r="S89" s="36" t="str" cm="1">
        <f t="array" ref="S89">IFERROR(INDEX(FORECAST!$D$12:$D$475, MATCH(1, INDEX((ISNUMBER(SEARCH($B89, FORECAST!$A$12:$A$475))) * (INT(FORECAST!$B$12:$B$475) &lt;= S$81) * (INT(FORECAST!$C$12:$C$475) &gt;= S$81), 0), 0)), "")</f>
        <v/>
      </c>
      <c r="T89" s="36" t="str" cm="1">
        <f t="array" ref="T89">IFERROR(INDEX(FORECAST!$D$12:$D$475, MATCH(1, INDEX((ISNUMBER(SEARCH($B89, FORECAST!$A$12:$A$475))) * (INT(FORECAST!$B$12:$B$475) &lt;= T$81) * (INT(FORECAST!$C$12:$C$475) &gt;= T$81), 0), 0)), "")</f>
        <v/>
      </c>
      <c r="U89" s="36" t="str" cm="1">
        <f t="array" ref="U89">IFERROR(INDEX(FORECAST!$D$12:$D$475, MATCH(1, INDEX((ISNUMBER(SEARCH($B89, FORECAST!$A$12:$A$475))) * (INT(FORECAST!$B$12:$B$475) &lt;= U$81) * (INT(FORECAST!$C$12:$C$475) &gt;= U$81), 0), 0)), "")</f>
        <v/>
      </c>
      <c r="V89" s="36" t="str" cm="1">
        <f t="array" ref="V89">IFERROR(INDEX(FORECAST!$D$12:$D$475, MATCH(1, INDEX((ISNUMBER(SEARCH($B89, FORECAST!$A$12:$A$475))) * (INT(FORECAST!$B$12:$B$475) &lt;= V$81) * (INT(FORECAST!$C$12:$C$475) &gt;= V$81), 0), 0)), "")</f>
        <v/>
      </c>
      <c r="W89" s="36" t="str" cm="1">
        <f t="array" ref="W89">IFERROR(INDEX(FORECAST!$D$12:$D$475, MATCH(1, INDEX((ISNUMBER(SEARCH($B89, FORECAST!$A$12:$A$475))) * (INT(FORECAST!$B$12:$B$475) &lt;= W$81) * (INT(FORECAST!$C$12:$C$475) &gt;= W$81), 0), 0)), "")</f>
        <v/>
      </c>
      <c r="X89" s="36" t="str" cm="1">
        <f t="array" ref="X89">IFERROR(INDEX(FORECAST!$D$12:$D$475, MATCH(1, INDEX((ISNUMBER(SEARCH($B89, FORECAST!$A$12:$A$475))) * (INT(FORECAST!$B$12:$B$475) &lt;= X$81) * (INT(FORECAST!$C$12:$C$475) &gt;= X$81), 0), 0)), "")</f>
        <v/>
      </c>
      <c r="Y89" s="36" t="str" cm="1">
        <f t="array" ref="Y89">IFERROR(INDEX(FORECAST!$D$12:$D$475, MATCH(1, INDEX((ISNUMBER(SEARCH($B89, FORECAST!$A$12:$A$475))) * (INT(FORECAST!$B$12:$B$475) &lt;= Y$81) * (INT(FORECAST!$C$12:$C$475) &gt;= Y$81), 0), 0)), "")</f>
        <v/>
      </c>
      <c r="Z89" s="36" t="str" cm="1">
        <f t="array" ref="Z89">IFERROR(INDEX(FORECAST!$D$12:$D$475, MATCH(1, INDEX((ISNUMBER(SEARCH($B89, FORECAST!$A$12:$A$475))) * (INT(FORECAST!$B$12:$B$475) &lt;= Z$81) * (INT(FORECAST!$C$12:$C$475) &gt;= Z$81), 0), 0)), "")</f>
        <v/>
      </c>
      <c r="AA89" s="36" t="str" cm="1">
        <f t="array" ref="AA89">IFERROR(INDEX(FORECAST!$D$12:$D$475, MATCH(1, INDEX((ISNUMBER(SEARCH($B89, FORECAST!$A$12:$A$475))) * (INT(FORECAST!$B$12:$B$475) &lt;= AA$81) * (INT(FORECAST!$C$12:$C$475) &gt;= AA$81), 0), 0)), "")</f>
        <v/>
      </c>
      <c r="AB89" s="36" t="str" cm="1">
        <f t="array" ref="AB89">IFERROR(INDEX(FORECAST!$D$12:$D$475, MATCH(1, INDEX((ISNUMBER(SEARCH($B89, FORECAST!$A$12:$A$475))) * (INT(FORECAST!$B$12:$B$475) &lt;= AB$81) * (INT(FORECAST!$C$12:$C$475) &gt;= AB$81), 0), 0)), "")</f>
        <v/>
      </c>
      <c r="AC89" s="36" t="str" cm="1">
        <f t="array" ref="AC89">IFERROR(INDEX(FORECAST!$D$12:$D$475, MATCH(1, INDEX((ISNUMBER(SEARCH($B89, FORECAST!$A$12:$A$475))) * (INT(FORECAST!$B$12:$B$475) &lt;= AC$81) * (INT(FORECAST!$C$12:$C$475) &gt;= AC$81), 0), 0)), "")</f>
        <v/>
      </c>
      <c r="AD89" s="36" t="str" cm="1">
        <f t="array" ref="AD89">IFERROR(INDEX(FORECAST!$D$12:$D$475, MATCH(1, INDEX((ISNUMBER(SEARCH($B89, FORECAST!$A$12:$A$475))) * (INT(FORECAST!$B$12:$B$475) &lt;= AD$81) * (INT(FORECAST!$C$12:$C$475) &gt;= AD$81), 0), 0)), "")</f>
        <v/>
      </c>
      <c r="AE89" s="36" t="str" cm="1">
        <f t="array" ref="AE89">IFERROR(INDEX(FORECAST!$D$12:$D$475, MATCH(1, INDEX((ISNUMBER(SEARCH($B89, FORECAST!$A$12:$A$475))) * (INT(FORECAST!$B$12:$B$475) &lt;= AE$81) * (INT(FORECAST!$C$12:$C$475) &gt;= AE$81), 0), 0)), "")</f>
        <v/>
      </c>
      <c r="AF89" s="36" t="str" cm="1">
        <f t="array" ref="AF89">IFERROR(INDEX(FORECAST!$D$12:$D$475, MATCH(1, INDEX((ISNUMBER(SEARCH($B89, FORECAST!$A$12:$A$475))) * (INT(FORECAST!$B$12:$B$475) &lt;= AF$81) * (INT(FORECAST!$C$12:$C$475) &gt;= AF$81), 0), 0)), "")</f>
        <v/>
      </c>
      <c r="AG89" s="36" t="str" cm="1">
        <f t="array" ref="AG89">IFERROR(INDEX(FORECAST!$D$12:$D$475, MATCH(1, INDEX((ISNUMBER(SEARCH($B89, FORECAST!$A$12:$A$475))) * (INT(FORECAST!$B$12:$B$475) &lt;= AG$81) * (INT(FORECAST!$C$12:$C$475) &gt;= AG$81), 0), 0)), "")</f>
        <v/>
      </c>
      <c r="AH89" s="9"/>
      <c r="AI89" s="2"/>
      <c r="AJ89" s="45">
        <f t="shared" si="6"/>
        <v>0</v>
      </c>
    </row>
    <row r="90" spans="1:38" x14ac:dyDescent="0.25">
      <c r="AE90" s="9" t="str" cm="1">
        <f t="array" ref="AE90">IFERROR(INDEX(FORECAST!$E$12:$E$475, MATCH(1, INDEX((ISNUMBER(SEARCH($C90, FORECAST!$A$12:$A$475))) * (FORECAST!$B$12:$B$475 &lt;= AE$37) * (FORECAST!$C$12:$C$475 &gt;= AE$37), 0), 0)), "")</f>
        <v/>
      </c>
      <c r="AF90" s="9" t="str" cm="1">
        <f t="array" ref="AF90">IFERROR(INDEX(FORECAST!$E$12:$E$475, MATCH(1, INDEX((ISNUMBER(SEARCH($C90, FORECAST!$A$12:$A$475))) * (FORECAST!$B$12:$B$475 &lt;= AF$37) * (FORECAST!$C$12:$C$475 &gt;= AF$37), 0), 0)), "")</f>
        <v/>
      </c>
      <c r="AG90" s="9" t="str" cm="1">
        <f t="array" ref="AG90">IFERROR(INDEX(FORECAST!$E$12:$E$475, MATCH(1, INDEX((ISNUMBER(SEARCH($C90, FORECAST!$A$12:$A$475))) * (FORECAST!$B$12:$B$475 &lt;= AG$37) * (FORECAST!$C$12:$C$475 &gt;= AG$37), 0), 0)), "")</f>
        <v/>
      </c>
      <c r="AH90" s="2"/>
      <c r="AI90" s="2"/>
    </row>
    <row r="91" spans="1:38" x14ac:dyDescent="0.25">
      <c r="B91" s="2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9"/>
      <c r="AF91" s="9"/>
      <c r="AG91" s="9"/>
      <c r="AH91" s="2"/>
      <c r="AI91" s="2"/>
    </row>
    <row r="92" spans="1:38" x14ac:dyDescent="0.25">
      <c r="C92" s="7" t="s">
        <v>504</v>
      </c>
      <c r="D92" s="7" t="s">
        <v>505</v>
      </c>
      <c r="E92" s="1" t="s">
        <v>506</v>
      </c>
      <c r="F92" s="1" t="s">
        <v>507</v>
      </c>
      <c r="G92" s="1" t="s">
        <v>508</v>
      </c>
      <c r="H92" s="1" t="s">
        <v>502</v>
      </c>
      <c r="I92" s="1" t="s">
        <v>503</v>
      </c>
      <c r="J92" s="7" t="s">
        <v>504</v>
      </c>
      <c r="K92" s="7" t="s">
        <v>505</v>
      </c>
      <c r="L92" s="16" t="s">
        <v>506</v>
      </c>
      <c r="M92" s="16" t="s">
        <v>507</v>
      </c>
      <c r="N92" s="1" t="s">
        <v>508</v>
      </c>
      <c r="O92" s="1" t="s">
        <v>502</v>
      </c>
      <c r="P92" s="1" t="s">
        <v>503</v>
      </c>
      <c r="Q92" s="7" t="s">
        <v>509</v>
      </c>
      <c r="R92" s="7" t="s">
        <v>510</v>
      </c>
      <c r="S92" s="13" t="s">
        <v>511</v>
      </c>
      <c r="T92" s="16" t="s">
        <v>512</v>
      </c>
      <c r="U92" s="1" t="s">
        <v>513</v>
      </c>
      <c r="V92" s="1" t="s">
        <v>514</v>
      </c>
      <c r="W92" s="1" t="s">
        <v>515</v>
      </c>
      <c r="X92" s="7" t="s">
        <v>509</v>
      </c>
      <c r="Y92" s="7" t="s">
        <v>510</v>
      </c>
      <c r="Z92" s="1" t="s">
        <v>511</v>
      </c>
      <c r="AA92" s="16" t="s">
        <v>512</v>
      </c>
      <c r="AB92" s="1" t="s">
        <v>513</v>
      </c>
      <c r="AC92" s="1" t="s">
        <v>514</v>
      </c>
      <c r="AD92" s="1" t="s">
        <v>515</v>
      </c>
      <c r="AE92" s="7" t="s">
        <v>509</v>
      </c>
      <c r="AF92" s="7" t="s">
        <v>510</v>
      </c>
      <c r="AG92" s="1" t="s">
        <v>511</v>
      </c>
      <c r="AH92" s="2"/>
      <c r="AI92" s="2"/>
    </row>
    <row r="93" spans="1:38" x14ac:dyDescent="0.25">
      <c r="C93" s="61">
        <v>46235</v>
      </c>
      <c r="D93" s="61">
        <v>46236</v>
      </c>
      <c r="E93" s="61">
        <v>46237</v>
      </c>
      <c r="F93" s="61">
        <v>46238</v>
      </c>
      <c r="G93" s="61">
        <v>46239</v>
      </c>
      <c r="H93" s="61">
        <v>46240</v>
      </c>
      <c r="I93" s="61">
        <v>46241</v>
      </c>
      <c r="J93" s="61">
        <v>46242</v>
      </c>
      <c r="K93" s="61">
        <v>46243</v>
      </c>
      <c r="L93" s="61">
        <v>46244</v>
      </c>
      <c r="M93" s="61">
        <v>46245</v>
      </c>
      <c r="N93" s="61">
        <v>46246</v>
      </c>
      <c r="O93" s="61">
        <v>46247</v>
      </c>
      <c r="P93" s="61">
        <v>46248</v>
      </c>
      <c r="Q93" s="61">
        <v>46249</v>
      </c>
      <c r="R93" s="61">
        <v>46250</v>
      </c>
      <c r="S93" s="61">
        <v>46251</v>
      </c>
      <c r="T93" s="61">
        <v>46252</v>
      </c>
      <c r="U93" s="61">
        <v>46253</v>
      </c>
      <c r="V93" s="61">
        <v>46254</v>
      </c>
      <c r="W93" s="61">
        <v>46255</v>
      </c>
      <c r="X93" s="61">
        <v>46256</v>
      </c>
      <c r="Y93" s="61">
        <v>46257</v>
      </c>
      <c r="Z93" s="61">
        <v>46258</v>
      </c>
      <c r="AA93" s="61">
        <v>46259</v>
      </c>
      <c r="AB93" s="61">
        <v>46260</v>
      </c>
      <c r="AC93" s="61">
        <v>46261</v>
      </c>
      <c r="AD93" s="61">
        <v>46262</v>
      </c>
      <c r="AE93" s="61">
        <v>46263</v>
      </c>
      <c r="AF93" s="61">
        <v>46264</v>
      </c>
      <c r="AG93" s="61">
        <v>46265</v>
      </c>
      <c r="AH93" s="2"/>
      <c r="AI93" s="2"/>
      <c r="AJ93" s="22" t="s">
        <v>516</v>
      </c>
    </row>
    <row r="94" spans="1:38" ht="15" customHeight="1" x14ac:dyDescent="0.25">
      <c r="A94" s="68" t="s">
        <v>531</v>
      </c>
      <c r="B94" s="26" t="s">
        <v>518</v>
      </c>
      <c r="C94" s="34" t="str" cm="1">
        <f t="array" ref="C94">IFERROR(INDEX(FORECAST!$D$12:$D$475, MATCH(1, INDEX((ISNUMBER(SEARCH($B94, FORECAST!$A$12:$A$475))) * (INT(FORECAST!$B$12:$B$475) &lt;= C$93) * (INT(FORECAST!$C$12:$C$475) &gt;= C$93), 0), 0)), "")</f>
        <v/>
      </c>
      <c r="D94" s="34" t="str" cm="1">
        <f t="array" ref="D94">IFERROR(INDEX(FORECAST!$D$12:$D$475, MATCH(1, INDEX((ISNUMBER(SEARCH($B94, FORECAST!$A$12:$A$475))) * (INT(FORECAST!$B$12:$B$475) &lt;= D$93) * (INT(FORECAST!$C$12:$C$475) &gt;= D$93), 0), 0)), "")</f>
        <v/>
      </c>
      <c r="E94" s="34" t="str" cm="1">
        <f t="array" ref="E94">IFERROR(INDEX(FORECAST!$D$12:$D$475, MATCH(1, INDEX((ISNUMBER(SEARCH($B94, FORECAST!$A$12:$A$475))) * (INT(FORECAST!$B$12:$B$475) &lt;= E$93) * (INT(FORECAST!$C$12:$C$475) &gt;= E$93), 0), 0)), "")</f>
        <v>Tentativo</v>
      </c>
      <c r="F94" s="34" t="str" cm="1">
        <f t="array" ref="F94">IFERROR(INDEX(FORECAST!$D$12:$D$475, MATCH(1, INDEX((ISNUMBER(SEARCH($B94, FORECAST!$A$12:$A$475))) * (INT(FORECAST!$B$12:$B$475) &lt;= F$93) * (INT(FORECAST!$C$12:$C$475) &gt;= F$93), 0), 0)), "")</f>
        <v>Tentativo</v>
      </c>
      <c r="G94" s="34" t="str" cm="1">
        <f t="array" ref="G94">IFERROR(INDEX(FORECAST!$D$12:$D$475, MATCH(1, INDEX((ISNUMBER(SEARCH($B94, FORECAST!$A$12:$A$475))) * (INT(FORECAST!$B$12:$B$475) &lt;= G$93) * (INT(FORECAST!$C$12:$C$475) &gt;= G$93), 0), 0)), "")</f>
        <v>Garantizado</v>
      </c>
      <c r="H94" s="34" t="str" cm="1">
        <f t="array" ref="H94">IFERROR(INDEX(FORECAST!$D$12:$D$475, MATCH(1, INDEX((ISNUMBER(SEARCH($B94, FORECAST!$A$12:$A$475))) * (INT(FORECAST!$B$12:$B$475) &lt;= H$93) * (INT(FORECAST!$C$12:$C$475) &gt;= H$93), 0), 0)), "")</f>
        <v>Garantizado</v>
      </c>
      <c r="I94" s="34" t="str" cm="1">
        <f t="array" ref="I94">IFERROR(INDEX(FORECAST!$D$12:$D$475, MATCH(1, INDEX((ISNUMBER(SEARCH($B94, FORECAST!$A$12:$A$475))) * (INT(FORECAST!$B$12:$B$475) &lt;= I$93) * (INT(FORECAST!$C$12:$C$475) &gt;= I$93), 0), 0)), "")</f>
        <v>Garantizado</v>
      </c>
      <c r="J94" s="34" t="str" cm="1">
        <f t="array" ref="J94">IFERROR(INDEX(FORECAST!$D$12:$D$475, MATCH(1, INDEX((ISNUMBER(SEARCH($B94, FORECAST!$A$12:$A$475))) * (INT(FORECAST!$B$12:$B$475) &lt;= J$93) * (INT(FORECAST!$C$12:$C$475) &gt;= J$93), 0), 0)), "")</f>
        <v/>
      </c>
      <c r="K94" s="34" t="str" cm="1">
        <f t="array" ref="K94">IFERROR(INDEX(FORECAST!$D$12:$D$475, MATCH(1, INDEX((ISNUMBER(SEARCH($B94, FORECAST!$A$12:$A$475))) * (INT(FORECAST!$B$12:$B$475) &lt;= K$93) * (INT(FORECAST!$C$12:$C$475) &gt;= K$93), 0), 0)), "")</f>
        <v/>
      </c>
      <c r="L94" s="34" t="str" cm="1">
        <f t="array" ref="L94">IFERROR(INDEX(FORECAST!$D$12:$D$475, MATCH(1, INDEX((ISNUMBER(SEARCH($B94, FORECAST!$A$12:$A$475))) * (INT(FORECAST!$B$12:$B$475) &lt;= L$93) * (INT(FORECAST!$C$12:$C$475) &gt;= L$93), 0), 0)), "")</f>
        <v/>
      </c>
      <c r="M94" s="34" t="str" cm="1">
        <f t="array" ref="M94">IFERROR(INDEX(FORECAST!$D$12:$D$475, MATCH(1, INDEX((ISNUMBER(SEARCH($B94, FORECAST!$A$12:$A$475))) * (INT(FORECAST!$B$12:$B$475) &lt;= M$93) * (INT(FORECAST!$C$12:$C$475) &gt;= M$93), 0), 0)), "")</f>
        <v>Garantizado</v>
      </c>
      <c r="N94" s="34" t="str" cm="1">
        <f t="array" ref="N94">IFERROR(INDEX(FORECAST!$D$12:$D$475, MATCH(1, INDEX((ISNUMBER(SEARCH($B94, FORECAST!$A$12:$A$475))) * (INT(FORECAST!$B$12:$B$475) &lt;= N$93) * (INT(FORECAST!$C$12:$C$475) &gt;= N$93), 0), 0)), "")</f>
        <v>Presupuesto</v>
      </c>
      <c r="O94" s="34" t="str" cm="1">
        <f t="array" ref="O94">IFERROR(INDEX(FORECAST!$D$12:$D$475, MATCH(1, INDEX((ISNUMBER(SEARCH($B94, FORECAST!$A$12:$A$475))) * (INT(FORECAST!$B$12:$B$475) &lt;= O$93) * (INT(FORECAST!$C$12:$C$475) &gt;= O$93), 0), 0)), "")</f>
        <v>Presupuesto</v>
      </c>
      <c r="P94" s="34" t="str" cm="1">
        <f t="array" ref="P94">IFERROR(INDEX(FORECAST!$D$12:$D$475, MATCH(1, INDEX((ISNUMBER(SEARCH($B94, FORECAST!$A$12:$A$475))) * (INT(FORECAST!$B$12:$B$475) &lt;= P$93) * (INT(FORECAST!$C$12:$C$475) &gt;= P$93), 0), 0)), "")</f>
        <v>Presupuesto</v>
      </c>
      <c r="Q94" s="34" t="str" cm="1">
        <f t="array" ref="Q94">IFERROR(INDEX(FORECAST!$D$12:$D$475, MATCH(1, INDEX((ISNUMBER(SEARCH($B94, FORECAST!$A$12:$A$475))) * (INT(FORECAST!$B$12:$B$475) &lt;= Q$93) * (INT(FORECAST!$C$12:$C$475) &gt;= Q$93), 0), 0)), "")</f>
        <v>Garantizado</v>
      </c>
      <c r="R94" s="34" t="str" cm="1">
        <f t="array" ref="R94">IFERROR(INDEX(FORECAST!$D$12:$D$475, MATCH(1, INDEX((ISNUMBER(SEARCH($B94, FORECAST!$A$12:$A$475))) * (INT(FORECAST!$B$12:$B$475) &lt;= R$93) * (INT(FORECAST!$C$12:$C$475) &gt;= R$93), 0), 0)), "")</f>
        <v>Garantizado</v>
      </c>
      <c r="S94" s="34" t="str" cm="1">
        <f t="array" ref="S94">IFERROR(INDEX(FORECAST!$D$12:$D$475, MATCH(1, INDEX((ISNUMBER(SEARCH($B94, FORECAST!$A$12:$A$475))) * (INT(FORECAST!$B$12:$B$475) &lt;= S$93) * (INT(FORECAST!$C$12:$C$475) &gt;= S$93), 0), 0)), "")</f>
        <v/>
      </c>
      <c r="T94" s="34" t="str" cm="1">
        <f t="array" ref="T94">IFERROR(INDEX(FORECAST!$D$12:$D$475, MATCH(1, INDEX((ISNUMBER(SEARCH($B94, FORECAST!$A$12:$A$475))) * (INT(FORECAST!$B$12:$B$475) &lt;= T$93) * (INT(FORECAST!$C$12:$C$475) &gt;= T$93), 0), 0)), "")</f>
        <v/>
      </c>
      <c r="U94" s="34" t="str" cm="1">
        <f t="array" ref="U94">IFERROR(INDEX(FORECAST!$D$12:$D$475, MATCH(1, INDEX((ISNUMBER(SEARCH($B94, FORECAST!$A$12:$A$475))) * (INT(FORECAST!$B$12:$B$475) &lt;= U$93) * (INT(FORECAST!$C$12:$C$475) &gt;= U$93), 0), 0)), "")</f>
        <v>Garantizado</v>
      </c>
      <c r="V94" s="34" t="str" cm="1">
        <f t="array" ref="V94">IFERROR(INDEX(FORECAST!$D$12:$D$475, MATCH(1, INDEX((ISNUMBER(SEARCH($B94, FORECAST!$A$12:$A$475))) * (INT(FORECAST!$B$12:$B$475) &lt;= V$93) * (INT(FORECAST!$C$12:$C$475) &gt;= V$93), 0), 0)), "")</f>
        <v>Garantizado</v>
      </c>
      <c r="W94" s="34" t="str" cm="1">
        <f t="array" ref="W94">IFERROR(INDEX(FORECAST!$D$12:$D$475, MATCH(1, INDEX((ISNUMBER(SEARCH($B94, FORECAST!$A$12:$A$475))) * (INT(FORECAST!$B$12:$B$475) &lt;= W$93) * (INT(FORECAST!$C$12:$C$475) &gt;= W$93), 0), 0)), "")</f>
        <v>Garantizado</v>
      </c>
      <c r="X94" s="34" t="str" cm="1">
        <f t="array" ref="X94">IFERROR(INDEX(FORECAST!$D$12:$D$475, MATCH(1, INDEX((ISNUMBER(SEARCH($B94, FORECAST!$A$12:$A$475))) * (INT(FORECAST!$B$12:$B$475) &lt;= X$93) * (INT(FORECAST!$C$12:$C$475) &gt;= X$93), 0), 0)), "")</f>
        <v>Presupuesto</v>
      </c>
      <c r="Y94" s="34" t="str" cm="1">
        <f t="array" ref="Y94">IFERROR(INDEX(FORECAST!$D$12:$D$475, MATCH(1, INDEX((ISNUMBER(SEARCH($B94, FORECAST!$A$12:$A$475))) * (INT(FORECAST!$B$12:$B$475) &lt;= Y$93) * (INT(FORECAST!$C$12:$C$475) &gt;= Y$93), 0), 0)), "")</f>
        <v>Presupuesto</v>
      </c>
      <c r="Z94" s="34" t="str" cm="1">
        <f t="array" ref="Z94">IFERROR(INDEX(FORECAST!$D$12:$D$475, MATCH(1, INDEX((ISNUMBER(SEARCH($B94, FORECAST!$A$12:$A$475))) * (INT(FORECAST!$B$12:$B$475) &lt;= Z$93) * (INT(FORECAST!$C$12:$C$475) &gt;= Z$93), 0), 0)), "")</f>
        <v>Presupuesto</v>
      </c>
      <c r="AA94" s="34" t="str" cm="1">
        <f t="array" ref="AA94">IFERROR(INDEX(FORECAST!$D$12:$D$475, MATCH(1, INDEX((ISNUMBER(SEARCH($B94, FORECAST!$A$12:$A$475))) * (INT(FORECAST!$B$12:$B$475) &lt;= AA$93) * (INT(FORECAST!$C$12:$C$475) &gt;= AA$93), 0), 0)), "")</f>
        <v>Presupuesto</v>
      </c>
      <c r="AB94" s="34" t="str" cm="1">
        <f t="array" ref="AB94">IFERROR(INDEX(FORECAST!$D$12:$D$475, MATCH(1, INDEX((ISNUMBER(SEARCH($B94, FORECAST!$A$12:$A$475))) * (INT(FORECAST!$B$12:$B$475) &lt;= AB$93) * (INT(FORECAST!$C$12:$C$475) &gt;= AB$93), 0), 0)), "")</f>
        <v>Presupuesto</v>
      </c>
      <c r="AC94" s="34" t="str" cm="1">
        <f t="array" ref="AC94">IFERROR(INDEX(FORECAST!$D$12:$D$475, MATCH(1, INDEX((ISNUMBER(SEARCH($B94, FORECAST!$A$12:$A$475))) * (INT(FORECAST!$B$12:$B$475) &lt;= AC$93) * (INT(FORECAST!$C$12:$C$475) &gt;= AC$93), 0), 0)), "")</f>
        <v>Garantizado</v>
      </c>
      <c r="AD94" s="34" t="str" cm="1">
        <f t="array" ref="AD94">IFERROR(INDEX(FORECAST!$D$12:$D$475, MATCH(1, INDEX((ISNUMBER(SEARCH($B94, FORECAST!$A$12:$A$475))) * (INT(FORECAST!$B$12:$B$475) &lt;= AD$93) * (INT(FORECAST!$C$12:$C$475) &gt;= AD$93), 0), 0)), "")</f>
        <v/>
      </c>
      <c r="AE94" s="34" t="str" cm="1">
        <f t="array" ref="AE94">IFERROR(INDEX(FORECAST!$D$12:$D$475, MATCH(1, INDEX((ISNUMBER(SEARCH($B94, FORECAST!$A$12:$A$475))) * (INT(FORECAST!$B$12:$B$475) &lt;= AE$93) * (INT(FORECAST!$C$12:$C$475) &gt;= AE$93), 0), 0)), "")</f>
        <v/>
      </c>
      <c r="AF94" s="34" t="str" cm="1">
        <f t="array" ref="AF94">IFERROR(INDEX(FORECAST!$D$12:$D$475, MATCH(1, INDEX((ISNUMBER(SEARCH($B94, FORECAST!$A$12:$A$475))) * (INT(FORECAST!$B$12:$B$475) &lt;= AF$93) * (INT(FORECAST!$C$12:$C$475) &gt;= AF$93), 0), 0)), "")</f>
        <v/>
      </c>
      <c r="AG94" s="34" t="str" cm="1">
        <f t="array" ref="AG94">IFERROR(INDEX(FORECAST!$D$12:$D$475, MATCH(1, INDEX((ISNUMBER(SEARCH($B94, FORECAST!$A$12:$A$475))) * (INT(FORECAST!$B$12:$B$475) &lt;= AG$93) * (INT(FORECAST!$C$12:$C$475) &gt;= AG$93), 0), 0)), "")</f>
        <v/>
      </c>
      <c r="AH94" s="16"/>
      <c r="AI94" s="2"/>
      <c r="AJ94" s="45">
        <f>COUNTIF(C94:AG94,"Garantizado")/31</f>
        <v>0.32258064516129031</v>
      </c>
    </row>
    <row r="95" spans="1:38" x14ac:dyDescent="0.25">
      <c r="A95" s="69"/>
      <c r="B95" s="26" t="s">
        <v>519</v>
      </c>
      <c r="C95" s="34" t="str" cm="1">
        <f t="array" ref="C95">IFERROR(INDEX(FORECAST!$D$12:$D$475, MATCH(1, INDEX((ISNUMBER(SEARCH($B95, FORECAST!$A$12:$A$475))) * (INT(FORECAST!$B$12:$B$475) &lt;= C$93) * (INT(FORECAST!$C$12:$C$475) &gt;= C$93), 0), 0)), "")</f>
        <v/>
      </c>
      <c r="D95" s="34" t="str" cm="1">
        <f t="array" ref="D95">IFERROR(INDEX(FORECAST!$D$12:$D$475, MATCH(1, INDEX((ISNUMBER(SEARCH($B95, FORECAST!$A$12:$A$475))) * (INT(FORECAST!$B$12:$B$475) &lt;= D$93) * (INT(FORECAST!$C$12:$C$475) &gt;= D$93), 0), 0)), "")</f>
        <v/>
      </c>
      <c r="E95" s="34" t="str" cm="1">
        <f t="array" ref="E95">IFERROR(INDEX(FORECAST!$D$12:$D$475, MATCH(1, INDEX((ISNUMBER(SEARCH($B95, FORECAST!$A$12:$A$475))) * (INT(FORECAST!$B$12:$B$475) &lt;= E$93) * (INT(FORECAST!$C$12:$C$475) &gt;= E$93), 0), 0)), "")</f>
        <v>Tentativo</v>
      </c>
      <c r="F95" s="34" t="str" cm="1">
        <f t="array" ref="F95">IFERROR(INDEX(FORECAST!$D$12:$D$475, MATCH(1, INDEX((ISNUMBER(SEARCH($B95, FORECAST!$A$12:$A$475))) * (INT(FORECAST!$B$12:$B$475) &lt;= F$93) * (INT(FORECAST!$C$12:$C$475) &gt;= F$93), 0), 0)), "")</f>
        <v>Tentativo</v>
      </c>
      <c r="G95" s="34" t="str" cm="1">
        <f t="array" ref="G95">IFERROR(INDEX(FORECAST!$D$12:$D$475, MATCH(1, INDEX((ISNUMBER(SEARCH($B95, FORECAST!$A$12:$A$475))) * (INT(FORECAST!$B$12:$B$475) &lt;= G$93) * (INT(FORECAST!$C$12:$C$475) &gt;= G$93), 0), 0)), "")</f>
        <v>Presupuesto</v>
      </c>
      <c r="H95" s="34" t="str" cm="1">
        <f t="array" ref="H95">IFERROR(INDEX(FORECAST!$D$12:$D$475, MATCH(1, INDEX((ISNUMBER(SEARCH($B95, FORECAST!$A$12:$A$475))) * (INT(FORECAST!$B$12:$B$475) &lt;= H$93) * (INT(FORECAST!$C$12:$C$475) &gt;= H$93), 0), 0)), "")</f>
        <v>Garantizado</v>
      </c>
      <c r="I95" s="34" t="str" cm="1">
        <f t="array" ref="I95">IFERROR(INDEX(FORECAST!$D$12:$D$475, MATCH(1, INDEX((ISNUMBER(SEARCH($B95, FORECAST!$A$12:$A$475))) * (INT(FORECAST!$B$12:$B$475) &lt;= I$93) * (INT(FORECAST!$C$12:$C$475) &gt;= I$93), 0), 0)), "")</f>
        <v>Tentativo</v>
      </c>
      <c r="J95" s="34" t="str" cm="1">
        <f t="array" ref="J95">IFERROR(INDEX(FORECAST!$D$12:$D$475, MATCH(1, INDEX((ISNUMBER(SEARCH($B95, FORECAST!$A$12:$A$475))) * (INT(FORECAST!$B$12:$B$475) &lt;= J$93) * (INT(FORECAST!$C$12:$C$475) &gt;= J$93), 0), 0)), "")</f>
        <v>Presupuesto</v>
      </c>
      <c r="K95" s="34" t="str" cm="1">
        <f t="array" ref="K95">IFERROR(INDEX(FORECAST!$D$12:$D$475, MATCH(1, INDEX((ISNUMBER(SEARCH($B95, FORECAST!$A$12:$A$475))) * (INT(FORECAST!$B$12:$B$475) &lt;= K$93) * (INT(FORECAST!$C$12:$C$475) &gt;= K$93), 0), 0)), "")</f>
        <v>Presupuesto</v>
      </c>
      <c r="L95" s="34" t="str" cm="1">
        <f t="array" ref="L95">IFERROR(INDEX(FORECAST!$D$12:$D$475, MATCH(1, INDEX((ISNUMBER(SEARCH($B95, FORECAST!$A$12:$A$475))) * (INT(FORECAST!$B$12:$B$475) &lt;= L$93) * (INT(FORECAST!$C$12:$C$475) &gt;= L$93), 0), 0)), "")</f>
        <v/>
      </c>
      <c r="M95" s="34" t="str" cm="1">
        <f t="array" ref="M95">IFERROR(INDEX(FORECAST!$D$12:$D$475, MATCH(1, INDEX((ISNUMBER(SEARCH($B95, FORECAST!$A$12:$A$475))) * (INT(FORECAST!$B$12:$B$475) &lt;= M$93) * (INT(FORECAST!$C$12:$C$475) &gt;= M$93), 0), 0)), "")</f>
        <v/>
      </c>
      <c r="N95" s="34" t="str" cm="1">
        <f t="array" ref="N95">IFERROR(INDEX(FORECAST!$D$12:$D$475, MATCH(1, INDEX((ISNUMBER(SEARCH($B95, FORECAST!$A$12:$A$475))) * (INT(FORECAST!$B$12:$B$475) &lt;= N$93) * (INT(FORECAST!$C$12:$C$475) &gt;= N$93), 0), 0)), "")</f>
        <v/>
      </c>
      <c r="O95" s="34" t="str" cm="1">
        <f t="array" ref="O95">IFERROR(INDEX(FORECAST!$D$12:$D$475, MATCH(1, INDEX((ISNUMBER(SEARCH($B95, FORECAST!$A$12:$A$475))) * (INT(FORECAST!$B$12:$B$475) &lt;= O$93) * (INT(FORECAST!$C$12:$C$475) &gt;= O$93), 0), 0)), "")</f>
        <v>Garantizado</v>
      </c>
      <c r="P95" s="34" t="str" cm="1">
        <f t="array" ref="P95">IFERROR(INDEX(FORECAST!$D$12:$D$475, MATCH(1, INDEX((ISNUMBER(SEARCH($B95, FORECAST!$A$12:$A$475))) * (INT(FORECAST!$B$12:$B$475) &lt;= P$93) * (INT(FORECAST!$C$12:$C$475) &gt;= P$93), 0), 0)), "")</f>
        <v>Garantizado</v>
      </c>
      <c r="Q95" s="34" t="str" cm="1">
        <f t="array" ref="Q95">IFERROR(INDEX(FORECAST!$D$12:$D$475, MATCH(1, INDEX((ISNUMBER(SEARCH($B95, FORECAST!$A$12:$A$475))) * (INT(FORECAST!$B$12:$B$475) &lt;= Q$93) * (INT(FORECAST!$C$12:$C$475) &gt;= Q$93), 0), 0)), "")</f>
        <v/>
      </c>
      <c r="R95" s="34" t="str" cm="1">
        <f t="array" ref="R95">IFERROR(INDEX(FORECAST!$D$12:$D$475, MATCH(1, INDEX((ISNUMBER(SEARCH($B95, FORECAST!$A$12:$A$475))) * (INT(FORECAST!$B$12:$B$475) &lt;= R$93) * (INT(FORECAST!$C$12:$C$475) &gt;= R$93), 0), 0)), "")</f>
        <v/>
      </c>
      <c r="S95" s="34" t="str" cm="1">
        <f t="array" ref="S95">IFERROR(INDEX(FORECAST!$D$12:$D$475, MATCH(1, INDEX((ISNUMBER(SEARCH($B95, FORECAST!$A$12:$A$475))) * (INT(FORECAST!$B$12:$B$475) &lt;= S$93) * (INT(FORECAST!$C$12:$C$475) &gt;= S$93), 0), 0)), "")</f>
        <v/>
      </c>
      <c r="T95" s="34" t="str" cm="1">
        <f t="array" ref="T95">IFERROR(INDEX(FORECAST!$D$12:$D$475, MATCH(1, INDEX((ISNUMBER(SEARCH($B95, FORECAST!$A$12:$A$475))) * (INT(FORECAST!$B$12:$B$475) &lt;= T$93) * (INT(FORECAST!$C$12:$C$475) &gt;= T$93), 0), 0)), "")</f>
        <v/>
      </c>
      <c r="U95" s="34" t="str" cm="1">
        <f t="array" ref="U95">IFERROR(INDEX(FORECAST!$D$12:$D$475, MATCH(1, INDEX((ISNUMBER(SEARCH($B95, FORECAST!$A$12:$A$475))) * (INT(FORECAST!$B$12:$B$475) &lt;= U$93) * (INT(FORECAST!$C$12:$C$475) &gt;= U$93), 0), 0)), "")</f>
        <v>Garantizado</v>
      </c>
      <c r="V95" s="34" t="str" cm="1">
        <f t="array" ref="V95">IFERROR(INDEX(FORECAST!$D$12:$D$475, MATCH(1, INDEX((ISNUMBER(SEARCH($B95, FORECAST!$A$12:$A$475))) * (INT(FORECAST!$B$12:$B$475) &lt;= V$93) * (INT(FORECAST!$C$12:$C$475) &gt;= V$93), 0), 0)), "")</f>
        <v>Garantizado</v>
      </c>
      <c r="W95" s="34" t="str" cm="1">
        <f t="array" ref="W95">IFERROR(INDEX(FORECAST!$D$12:$D$475, MATCH(1, INDEX((ISNUMBER(SEARCH($B95, FORECAST!$A$12:$A$475))) * (INT(FORECAST!$B$12:$B$475) &lt;= W$93) * (INT(FORECAST!$C$12:$C$475) &gt;= W$93), 0), 0)), "")</f>
        <v>Garantizado</v>
      </c>
      <c r="X95" s="34" t="str" cm="1">
        <f t="array" ref="X95">IFERROR(INDEX(FORECAST!$D$12:$D$475, MATCH(1, INDEX((ISNUMBER(SEARCH($B95, FORECAST!$A$12:$A$475))) * (INT(FORECAST!$B$12:$B$475) &lt;= X$93) * (INT(FORECAST!$C$12:$C$475) &gt;= X$93), 0), 0)), "")</f>
        <v>Presupuesto</v>
      </c>
      <c r="Y95" s="34" t="str" cm="1">
        <f t="array" ref="Y95">IFERROR(INDEX(FORECAST!$D$12:$D$475, MATCH(1, INDEX((ISNUMBER(SEARCH($B95, FORECAST!$A$12:$A$475))) * (INT(FORECAST!$B$12:$B$475) &lt;= Y$93) * (INT(FORECAST!$C$12:$C$475) &gt;= Y$93), 0), 0)), "")</f>
        <v>Presupuesto</v>
      </c>
      <c r="Z95" s="34" t="str" cm="1">
        <f t="array" ref="Z95">IFERROR(INDEX(FORECAST!$D$12:$D$475, MATCH(1, INDEX((ISNUMBER(SEARCH($B95, FORECAST!$A$12:$A$475))) * (INT(FORECAST!$B$12:$B$475) &lt;= Z$93) * (INT(FORECAST!$C$12:$C$475) &gt;= Z$93), 0), 0)), "")</f>
        <v/>
      </c>
      <c r="AA95" s="34" t="str" cm="1">
        <f t="array" ref="AA95">IFERROR(INDEX(FORECAST!$D$12:$D$475, MATCH(1, INDEX((ISNUMBER(SEARCH($B95, FORECAST!$A$12:$A$475))) * (INT(FORECAST!$B$12:$B$475) &lt;= AA$93) * (INT(FORECAST!$C$12:$C$475) &gt;= AA$93), 0), 0)), "")</f>
        <v>Tentativo</v>
      </c>
      <c r="AB95" s="34" t="str" cm="1">
        <f t="array" ref="AB95">IFERROR(INDEX(FORECAST!$D$12:$D$475, MATCH(1, INDEX((ISNUMBER(SEARCH($B95, FORECAST!$A$12:$A$475))) * (INT(FORECAST!$B$12:$B$475) &lt;= AB$93) * (INT(FORECAST!$C$12:$C$475) &gt;= AB$93), 0), 0)), "")</f>
        <v>Tentativo</v>
      </c>
      <c r="AC95" s="34" t="str" cm="1">
        <f t="array" ref="AC95">IFERROR(INDEX(FORECAST!$D$12:$D$475, MATCH(1, INDEX((ISNUMBER(SEARCH($B95, FORECAST!$A$12:$A$475))) * (INT(FORECAST!$B$12:$B$475) &lt;= AC$93) * (INT(FORECAST!$C$12:$C$475) &gt;= AC$93), 0), 0)), "")</f>
        <v>Tentativo</v>
      </c>
      <c r="AD95" s="34" t="str" cm="1">
        <f t="array" ref="AD95">IFERROR(INDEX(FORECAST!$D$12:$D$475, MATCH(1, INDEX((ISNUMBER(SEARCH($B95, FORECAST!$A$12:$A$475))) * (INT(FORECAST!$B$12:$B$475) &lt;= AD$93) * (INT(FORECAST!$C$12:$C$475) &gt;= AD$93), 0), 0)), "")</f>
        <v>Tentativo</v>
      </c>
      <c r="AE95" s="34" t="str" cm="1">
        <f t="array" ref="AE95">IFERROR(INDEX(FORECAST!$D$12:$D$475, MATCH(1, INDEX((ISNUMBER(SEARCH($B95, FORECAST!$A$12:$A$475))) * (INT(FORECAST!$B$12:$B$475) &lt;= AE$93) * (INT(FORECAST!$C$12:$C$475) &gt;= AE$93), 0), 0)), "")</f>
        <v/>
      </c>
      <c r="AF95" s="34" t="str" cm="1">
        <f t="array" ref="AF95">IFERROR(INDEX(FORECAST!$D$12:$D$475, MATCH(1, INDEX((ISNUMBER(SEARCH($B95, FORECAST!$A$12:$A$475))) * (INT(FORECAST!$B$12:$B$475) &lt;= AF$93) * (INT(FORECAST!$C$12:$C$475) &gt;= AF$93), 0), 0)), "")</f>
        <v/>
      </c>
      <c r="AG95" s="34" t="str" cm="1">
        <f t="array" ref="AG95">IFERROR(INDEX(FORECAST!$D$12:$D$475, MATCH(1, INDEX((ISNUMBER(SEARCH($B95, FORECAST!$A$12:$A$475))) * (INT(FORECAST!$B$12:$B$475) &lt;= AG$93) * (INT(FORECAST!$C$12:$C$475) &gt;= AG$93), 0), 0)), "")</f>
        <v/>
      </c>
      <c r="AH95" s="2"/>
      <c r="AI95" s="37"/>
      <c r="AJ95" s="45">
        <f>COUNTIF(C95:AG95,"Garantizado")/31</f>
        <v>0.19354838709677419</v>
      </c>
      <c r="AL95" s="30" t="s">
        <v>520</v>
      </c>
    </row>
    <row r="96" spans="1:38" x14ac:dyDescent="0.25">
      <c r="A96" s="69"/>
      <c r="B96" s="26" t="s">
        <v>279</v>
      </c>
      <c r="C96" s="34" t="str" cm="1">
        <f t="array" ref="C96">IFERROR(INDEX(FORECAST!$D$12:$D$475, MATCH(1, INDEX((ISNUMBER(SEARCH($B96, FORECAST!$A$12:$A$475))) * (INT(FORECAST!$B$12:$B$475) &lt;= C$93) * (INT(FORECAST!$C$12:$C$475) &gt;= C$93), 0), 0)), "")</f>
        <v/>
      </c>
      <c r="D96" s="34" t="str" cm="1">
        <f t="array" ref="D96">IFERROR(INDEX(FORECAST!$D$12:$D$475, MATCH(1, INDEX((ISNUMBER(SEARCH($B96, FORECAST!$A$12:$A$475))) * (INT(FORECAST!$B$12:$B$475) &lt;= D$93) * (INT(FORECAST!$C$12:$C$475) &gt;= D$93), 0), 0)), "")</f>
        <v/>
      </c>
      <c r="E96" s="34" t="str" cm="1">
        <f t="array" ref="E96">IFERROR(INDEX(FORECAST!$D$12:$D$475, MATCH(1, INDEX((ISNUMBER(SEARCH($B96, FORECAST!$A$12:$A$475))) * (INT(FORECAST!$B$12:$B$475) &lt;= E$93) * (INT(FORECAST!$C$12:$C$475) &gt;= E$93), 0), 0)), "")</f>
        <v>Tentativo</v>
      </c>
      <c r="F96" s="34" t="str" cm="1">
        <f t="array" ref="F96">IFERROR(INDEX(FORECAST!$D$12:$D$475, MATCH(1, INDEX((ISNUMBER(SEARCH($B96, FORECAST!$A$12:$A$475))) * (INT(FORECAST!$B$12:$B$475) &lt;= F$93) * (INT(FORECAST!$C$12:$C$475) &gt;= F$93), 0), 0)), "")</f>
        <v>Tentativo</v>
      </c>
      <c r="G96" s="34" t="str" cm="1">
        <f t="array" ref="G96">IFERROR(INDEX(FORECAST!$D$12:$D$475, MATCH(1, INDEX((ISNUMBER(SEARCH($B96, FORECAST!$A$12:$A$475))) * (INT(FORECAST!$B$12:$B$475) &lt;= G$93) * (INT(FORECAST!$C$12:$C$475) &gt;= G$93), 0), 0)), "")</f>
        <v/>
      </c>
      <c r="H96" s="34" t="str" cm="1">
        <f t="array" ref="H96">IFERROR(INDEX(FORECAST!$D$12:$D$475, MATCH(1, INDEX((ISNUMBER(SEARCH($B96, FORECAST!$A$12:$A$475))) * (INT(FORECAST!$B$12:$B$475) &lt;= H$93) * (INT(FORECAST!$C$12:$C$475) &gt;= H$93), 0), 0)), "")</f>
        <v/>
      </c>
      <c r="I96" s="34" t="str" cm="1">
        <f t="array" ref="I96">IFERROR(INDEX(FORECAST!$D$12:$D$475, MATCH(1, INDEX((ISNUMBER(SEARCH($B96, FORECAST!$A$12:$A$475))) * (INT(FORECAST!$B$12:$B$475) &lt;= I$93) * (INT(FORECAST!$C$12:$C$475) &gt;= I$93), 0), 0)), "")</f>
        <v/>
      </c>
      <c r="J96" s="34" t="str" cm="1">
        <f t="array" ref="J96">IFERROR(INDEX(FORECAST!$D$12:$D$475, MATCH(1, INDEX((ISNUMBER(SEARCH($B96, FORECAST!$A$12:$A$475))) * (INT(FORECAST!$B$12:$B$475) &lt;= J$93) * (INT(FORECAST!$C$12:$C$475) &gt;= J$93), 0), 0)), "")</f>
        <v/>
      </c>
      <c r="K96" s="34" t="str" cm="1">
        <f t="array" ref="K96">IFERROR(INDEX(FORECAST!$D$12:$D$475, MATCH(1, INDEX((ISNUMBER(SEARCH($B96, FORECAST!$A$12:$A$475))) * (INT(FORECAST!$B$12:$B$475) &lt;= K$93) * (INT(FORECAST!$C$12:$C$475) &gt;= K$93), 0), 0)), "")</f>
        <v/>
      </c>
      <c r="L96" s="34" t="str" cm="1">
        <f t="array" ref="L96">IFERROR(INDEX(FORECAST!$D$12:$D$475, MATCH(1, INDEX((ISNUMBER(SEARCH($B96, FORECAST!$A$12:$A$475))) * (INT(FORECAST!$B$12:$B$475) &lt;= L$93) * (INT(FORECAST!$C$12:$C$475) &gt;= L$93), 0), 0)), "")</f>
        <v/>
      </c>
      <c r="M96" s="34" t="str" cm="1">
        <f t="array" ref="M96">IFERROR(INDEX(FORECAST!$D$12:$D$475, MATCH(1, INDEX((ISNUMBER(SEARCH($B96, FORECAST!$A$12:$A$475))) * (INT(FORECAST!$B$12:$B$475) &lt;= M$93) * (INT(FORECAST!$C$12:$C$475) &gt;= M$93), 0), 0)), "")</f>
        <v/>
      </c>
      <c r="N96" s="34" t="str" cm="1">
        <f t="array" ref="N96">IFERROR(INDEX(FORECAST!$D$12:$D$475, MATCH(1, INDEX((ISNUMBER(SEARCH($B96, FORECAST!$A$12:$A$475))) * (INT(FORECAST!$B$12:$B$475) &lt;= N$93) * (INT(FORECAST!$C$12:$C$475) &gt;= N$93), 0), 0)), "")</f>
        <v/>
      </c>
      <c r="O96" s="34" t="str" cm="1">
        <f t="array" ref="O96">IFERROR(INDEX(FORECAST!$D$12:$D$475, MATCH(1, INDEX((ISNUMBER(SEARCH($B96, FORECAST!$A$12:$A$475))) * (INT(FORECAST!$B$12:$B$475) &lt;= O$93) * (INT(FORECAST!$C$12:$C$475) &gt;= O$93), 0), 0)), "")</f>
        <v>Garantizado</v>
      </c>
      <c r="P96" s="34" t="str" cm="1">
        <f t="array" ref="P96">IFERROR(INDEX(FORECAST!$D$12:$D$475, MATCH(1, INDEX((ISNUMBER(SEARCH($B96, FORECAST!$A$12:$A$475))) * (INT(FORECAST!$B$12:$B$475) &lt;= P$93) * (INT(FORECAST!$C$12:$C$475) &gt;= P$93), 0), 0)), "")</f>
        <v>Garantizado</v>
      </c>
      <c r="Q96" s="34" t="str" cm="1">
        <f t="array" ref="Q96">IFERROR(INDEX(FORECAST!$D$12:$D$475, MATCH(1, INDEX((ISNUMBER(SEARCH($B96, FORECAST!$A$12:$A$475))) * (INT(FORECAST!$B$12:$B$475) &lt;= Q$93) * (INT(FORECAST!$C$12:$C$475) &gt;= Q$93), 0), 0)), "")</f>
        <v/>
      </c>
      <c r="R96" s="34" t="str" cm="1">
        <f t="array" ref="R96">IFERROR(INDEX(FORECAST!$D$12:$D$475, MATCH(1, INDEX((ISNUMBER(SEARCH($B96, FORECAST!$A$12:$A$475))) * (INT(FORECAST!$B$12:$B$475) &lt;= R$93) * (INT(FORECAST!$C$12:$C$475) &gt;= R$93), 0), 0)), "")</f>
        <v/>
      </c>
      <c r="S96" s="34" t="str" cm="1">
        <f t="array" ref="S96">IFERROR(INDEX(FORECAST!$D$12:$D$475, MATCH(1, INDEX((ISNUMBER(SEARCH($B96, FORECAST!$A$12:$A$475))) * (INT(FORECAST!$B$12:$B$475) &lt;= S$93) * (INT(FORECAST!$C$12:$C$475) &gt;= S$93), 0), 0)), "")</f>
        <v/>
      </c>
      <c r="T96" s="34" t="str" cm="1">
        <f t="array" ref="T96">IFERROR(INDEX(FORECAST!$D$12:$D$475, MATCH(1, INDEX((ISNUMBER(SEARCH($B96, FORECAST!$A$12:$A$475))) * (INT(FORECAST!$B$12:$B$475) &lt;= T$93) * (INT(FORECAST!$C$12:$C$475) &gt;= T$93), 0), 0)), "")</f>
        <v/>
      </c>
      <c r="U96" s="34" t="str" cm="1">
        <f t="array" ref="U96">IFERROR(INDEX(FORECAST!$D$12:$D$475, MATCH(1, INDEX((ISNUMBER(SEARCH($B96, FORECAST!$A$12:$A$475))) * (INT(FORECAST!$B$12:$B$475) &lt;= U$93) * (INT(FORECAST!$C$12:$C$475) &gt;= U$93), 0), 0)), "")</f>
        <v>Garantizado</v>
      </c>
      <c r="V96" s="34" t="str" cm="1">
        <f t="array" ref="V96">IFERROR(INDEX(FORECAST!$D$12:$D$475, MATCH(1, INDEX((ISNUMBER(SEARCH($B96, FORECAST!$A$12:$A$475))) * (INT(FORECAST!$B$12:$B$475) &lt;= V$93) * (INT(FORECAST!$C$12:$C$475) &gt;= V$93), 0), 0)), "")</f>
        <v>Garantizado</v>
      </c>
      <c r="W96" s="34" t="str" cm="1">
        <f t="array" ref="W96">IFERROR(INDEX(FORECAST!$D$12:$D$475, MATCH(1, INDEX((ISNUMBER(SEARCH($B96, FORECAST!$A$12:$A$475))) * (INT(FORECAST!$B$12:$B$475) &lt;= W$93) * (INT(FORECAST!$C$12:$C$475) &gt;= W$93), 0), 0)), "")</f>
        <v>Garantizado</v>
      </c>
      <c r="X96" s="34" t="str" cm="1">
        <f t="array" ref="X96">IFERROR(INDEX(FORECAST!$D$12:$D$475, MATCH(1, INDEX((ISNUMBER(SEARCH($B96, FORECAST!$A$12:$A$475))) * (INT(FORECAST!$B$12:$B$475) &lt;= X$93) * (INT(FORECAST!$C$12:$C$475) &gt;= X$93), 0), 0)), "")</f>
        <v/>
      </c>
      <c r="Y96" s="34" t="str" cm="1">
        <f t="array" ref="Y96">IFERROR(INDEX(FORECAST!$D$12:$D$475, MATCH(1, INDEX((ISNUMBER(SEARCH($B96, FORECAST!$A$12:$A$475))) * (INT(FORECAST!$B$12:$B$475) &lt;= Y$93) * (INT(FORECAST!$C$12:$C$475) &gt;= Y$93), 0), 0)), "")</f>
        <v/>
      </c>
      <c r="Z96" s="34" t="str" cm="1">
        <f t="array" ref="Z96">IFERROR(INDEX(FORECAST!$D$12:$D$475, MATCH(1, INDEX((ISNUMBER(SEARCH($B96, FORECAST!$A$12:$A$475))) * (INT(FORECAST!$B$12:$B$475) &lt;= Z$93) * (INT(FORECAST!$C$12:$C$475) &gt;= Z$93), 0), 0)), "")</f>
        <v/>
      </c>
      <c r="AA96" s="34" t="str" cm="1">
        <f t="array" ref="AA96">IFERROR(INDEX(FORECAST!$D$12:$D$475, MATCH(1, INDEX((ISNUMBER(SEARCH($B96, FORECAST!$A$12:$A$475))) * (INT(FORECAST!$B$12:$B$475) &lt;= AA$93) * (INT(FORECAST!$C$12:$C$475) &gt;= AA$93), 0), 0)), "")</f>
        <v>Tentativo</v>
      </c>
      <c r="AB96" s="34" t="str" cm="1">
        <f t="array" ref="AB96">IFERROR(INDEX(FORECAST!$D$12:$D$475, MATCH(1, INDEX((ISNUMBER(SEARCH($B96, FORECAST!$A$12:$A$475))) * (INT(FORECAST!$B$12:$B$475) &lt;= AB$93) * (INT(FORECAST!$C$12:$C$475) &gt;= AB$93), 0), 0)), "")</f>
        <v>Tentativo</v>
      </c>
      <c r="AC96" s="34" t="str" cm="1">
        <f t="array" ref="AC96">IFERROR(INDEX(FORECAST!$D$12:$D$475, MATCH(1, INDEX((ISNUMBER(SEARCH($B96, FORECAST!$A$12:$A$475))) * (INT(FORECAST!$B$12:$B$475) &lt;= AC$93) * (INT(FORECAST!$C$12:$C$475) &gt;= AC$93), 0), 0)), "")</f>
        <v>Tentativo</v>
      </c>
      <c r="AD96" s="34" t="str" cm="1">
        <f t="array" ref="AD96">IFERROR(INDEX(FORECAST!$D$12:$D$475, MATCH(1, INDEX((ISNUMBER(SEARCH($B96, FORECAST!$A$12:$A$475))) * (INT(FORECAST!$B$12:$B$475) &lt;= AD$93) * (INT(FORECAST!$C$12:$C$475) &gt;= AD$93), 0), 0)), "")</f>
        <v>Tentativo</v>
      </c>
      <c r="AE96" s="34" t="str" cm="1">
        <f t="array" ref="AE96">IFERROR(INDEX(FORECAST!$D$12:$D$475, MATCH(1, INDEX((ISNUMBER(SEARCH($B96, FORECAST!$A$12:$A$475))) * (INT(FORECAST!$B$12:$B$475) &lt;= AE$93) * (INT(FORECAST!$C$12:$C$475) &gt;= AE$93), 0), 0)), "")</f>
        <v/>
      </c>
      <c r="AF96" s="34" t="str" cm="1">
        <f t="array" ref="AF96">IFERROR(INDEX(FORECAST!$D$12:$D$475, MATCH(1, INDEX((ISNUMBER(SEARCH($B96, FORECAST!$A$12:$A$475))) * (INT(FORECAST!$B$12:$B$475) &lt;= AF$93) * (INT(FORECAST!$C$12:$C$475) &gt;= AF$93), 0), 0)), "")</f>
        <v/>
      </c>
      <c r="AG96" s="34" t="str" cm="1">
        <f t="array" ref="AG96">IFERROR(INDEX(FORECAST!$D$12:$D$475, MATCH(1, INDEX((ISNUMBER(SEARCH($B96, FORECAST!$A$12:$A$475))) * (INT(FORECAST!$B$12:$B$475) &lt;= AG$93) * (INT(FORECAST!$C$12:$C$475) &gt;= AG$93), 0), 0)), "")</f>
        <v/>
      </c>
      <c r="AH96" s="9"/>
      <c r="AI96" s="2"/>
      <c r="AJ96" s="45">
        <f>COUNTIF(C96:AG96,"Garantizado")/31</f>
        <v>0.16129032258064516</v>
      </c>
      <c r="AL96" s="45">
        <f>COUNTIF('PLANNING 2026'!C94:AG100,"Garantizado")/COUNTA('PLANNING 2026'!C94:AG100)</f>
        <v>0.12903225806451613</v>
      </c>
    </row>
    <row r="97" spans="1:38" x14ac:dyDescent="0.25">
      <c r="A97" s="69"/>
      <c r="B97" s="26" t="s">
        <v>521</v>
      </c>
      <c r="C97" s="34" t="str" cm="1">
        <f t="array" ref="C97">IFERROR(INDEX(FORECAST!$D$12:$D$475, MATCH(1, INDEX((ISNUMBER(SEARCH($B97, FORECAST!$A$12:$A$475))) * (INT(FORECAST!$B$12:$B$475) &lt;= C$93) * (INT(FORECAST!$C$12:$C$475) &gt;= C$93), 0), 0)), "")</f>
        <v/>
      </c>
      <c r="D97" s="34" t="str" cm="1">
        <f t="array" ref="D97">IFERROR(INDEX(FORECAST!$D$12:$D$475, MATCH(1, INDEX((ISNUMBER(SEARCH($B97, FORECAST!$A$12:$A$475))) * (INT(FORECAST!$B$12:$B$475) &lt;= D$93) * (INT(FORECAST!$C$12:$C$475) &gt;= D$93), 0), 0)), "")</f>
        <v/>
      </c>
      <c r="E97" s="34" t="str" cm="1">
        <f t="array" ref="E97">IFERROR(INDEX(FORECAST!$D$12:$D$475, MATCH(1, INDEX((ISNUMBER(SEARCH($B97, FORECAST!$A$12:$A$475))) * (INT(FORECAST!$B$12:$B$475) &lt;= E$93) * (INT(FORECAST!$C$12:$C$475) &gt;= E$93), 0), 0)), "")</f>
        <v/>
      </c>
      <c r="F97" s="34" t="str" cm="1">
        <f t="array" ref="F97">IFERROR(INDEX(FORECAST!$D$12:$D$475, MATCH(1, INDEX((ISNUMBER(SEARCH($B97, FORECAST!$A$12:$A$475))) * (INT(FORECAST!$B$12:$B$475) &lt;= F$93) * (INT(FORECAST!$C$12:$C$475) &gt;= F$93), 0), 0)), "")</f>
        <v/>
      </c>
      <c r="G97" s="34" t="str" cm="1">
        <f t="array" ref="G97">IFERROR(INDEX(FORECAST!$D$12:$D$475, MATCH(1, INDEX((ISNUMBER(SEARCH($B97, FORECAST!$A$12:$A$475))) * (INT(FORECAST!$B$12:$B$475) &lt;= G$93) * (INT(FORECAST!$C$12:$C$475) &gt;= G$93), 0), 0)), "")</f>
        <v/>
      </c>
      <c r="H97" s="34" t="str" cm="1">
        <f t="array" ref="H97">IFERROR(INDEX(FORECAST!$D$12:$D$475, MATCH(1, INDEX((ISNUMBER(SEARCH($B97, FORECAST!$A$12:$A$475))) * (INT(FORECAST!$B$12:$B$475) &lt;= H$93) * (INT(FORECAST!$C$12:$C$475) &gt;= H$93), 0), 0)), "")</f>
        <v/>
      </c>
      <c r="I97" s="34" t="str" cm="1">
        <f t="array" ref="I97">IFERROR(INDEX(FORECAST!$D$12:$D$475, MATCH(1, INDEX((ISNUMBER(SEARCH($B97, FORECAST!$A$12:$A$475))) * (INT(FORECAST!$B$12:$B$475) &lt;= I$93) * (INT(FORECAST!$C$12:$C$475) &gt;= I$93), 0), 0)), "")</f>
        <v>Tentativo</v>
      </c>
      <c r="J97" s="34" t="str" cm="1">
        <f t="array" ref="J97">IFERROR(INDEX(FORECAST!$D$12:$D$475, MATCH(1, INDEX((ISNUMBER(SEARCH($B97, FORECAST!$A$12:$A$475))) * (INT(FORECAST!$B$12:$B$475) &lt;= J$93) * (INT(FORECAST!$C$12:$C$475) &gt;= J$93), 0), 0)), "")</f>
        <v/>
      </c>
      <c r="K97" s="34" t="str" cm="1">
        <f t="array" ref="K97">IFERROR(INDEX(FORECAST!$D$12:$D$475, MATCH(1, INDEX((ISNUMBER(SEARCH($B97, FORECAST!$A$12:$A$475))) * (INT(FORECAST!$B$12:$B$475) &lt;= K$93) * (INT(FORECAST!$C$12:$C$475) &gt;= K$93), 0), 0)), "")</f>
        <v/>
      </c>
      <c r="L97" s="34" t="str" cm="1">
        <f t="array" ref="L97">IFERROR(INDEX(FORECAST!$D$12:$D$475, MATCH(1, INDEX((ISNUMBER(SEARCH($B97, FORECAST!$A$12:$A$475))) * (INT(FORECAST!$B$12:$B$475) &lt;= L$93) * (INT(FORECAST!$C$12:$C$475) &gt;= L$93), 0), 0)), "")</f>
        <v/>
      </c>
      <c r="M97" s="34" t="str" cm="1">
        <f t="array" ref="M97">IFERROR(INDEX(FORECAST!$D$12:$D$475, MATCH(1, INDEX((ISNUMBER(SEARCH($B97, FORECAST!$A$12:$A$475))) * (INT(FORECAST!$B$12:$B$475) &lt;= M$93) * (INT(FORECAST!$C$12:$C$475) &gt;= M$93), 0), 0)), "")</f>
        <v/>
      </c>
      <c r="N97" s="34" t="str" cm="1">
        <f t="array" ref="N97">IFERROR(INDEX(FORECAST!$D$12:$D$475, MATCH(1, INDEX((ISNUMBER(SEARCH($B97, FORECAST!$A$12:$A$475))) * (INT(FORECAST!$B$12:$B$475) &lt;= N$93) * (INT(FORECAST!$C$12:$C$475) &gt;= N$93), 0), 0)), "")</f>
        <v>Presupuesto</v>
      </c>
      <c r="O97" s="34" t="str" cm="1">
        <f t="array" ref="O97">IFERROR(INDEX(FORECAST!$D$12:$D$475, MATCH(1, INDEX((ISNUMBER(SEARCH($B97, FORECAST!$A$12:$A$475))) * (INT(FORECAST!$B$12:$B$475) &lt;= O$93) * (INT(FORECAST!$C$12:$C$475) &gt;= O$93), 0), 0)), "")</f>
        <v>Presupuesto</v>
      </c>
      <c r="P97" s="34" t="str" cm="1">
        <f t="array" ref="P97">IFERROR(INDEX(FORECAST!$D$12:$D$475, MATCH(1, INDEX((ISNUMBER(SEARCH($B97, FORECAST!$A$12:$A$475))) * (INT(FORECAST!$B$12:$B$475) &lt;= P$93) * (INT(FORECAST!$C$12:$C$475) &gt;= P$93), 0), 0)), "")</f>
        <v>Presupuesto</v>
      </c>
      <c r="Q97" s="34" t="str" cm="1">
        <f t="array" ref="Q97">IFERROR(INDEX(FORECAST!$D$12:$D$475, MATCH(1, INDEX((ISNUMBER(SEARCH($B97, FORECAST!$A$12:$A$475))) * (INT(FORECAST!$B$12:$B$475) &lt;= Q$93) * (INT(FORECAST!$C$12:$C$475) &gt;= Q$93), 0), 0)), "")</f>
        <v/>
      </c>
      <c r="R97" s="34" t="str" cm="1">
        <f t="array" ref="R97">IFERROR(INDEX(FORECAST!$D$12:$D$475, MATCH(1, INDEX((ISNUMBER(SEARCH($B97, FORECAST!$A$12:$A$475))) * (INT(FORECAST!$B$12:$B$475) &lt;= R$93) * (INT(FORECAST!$C$12:$C$475) &gt;= R$93), 0), 0)), "")</f>
        <v/>
      </c>
      <c r="S97" s="34" t="str" cm="1">
        <f t="array" ref="S97">IFERROR(INDEX(FORECAST!$D$12:$D$475, MATCH(1, INDEX((ISNUMBER(SEARCH($B97, FORECAST!$A$12:$A$475))) * (INT(FORECAST!$B$12:$B$475) &lt;= S$93) * (INT(FORECAST!$C$12:$C$475) &gt;= S$93), 0), 0)), "")</f>
        <v/>
      </c>
      <c r="T97" s="34" t="str" cm="1">
        <f t="array" ref="T97">IFERROR(INDEX(FORECAST!$D$12:$D$475, MATCH(1, INDEX((ISNUMBER(SEARCH($B97, FORECAST!$A$12:$A$475))) * (INT(FORECAST!$B$12:$B$475) &lt;= T$93) * (INT(FORECAST!$C$12:$C$475) &gt;= T$93), 0), 0)), "")</f>
        <v/>
      </c>
      <c r="U97" s="34" t="str" cm="1">
        <f t="array" ref="U97">IFERROR(INDEX(FORECAST!$D$12:$D$475, MATCH(1, INDEX((ISNUMBER(SEARCH($B97, FORECAST!$A$12:$A$475))) * (INT(FORECAST!$B$12:$B$475) &lt;= U$93) * (INT(FORECAST!$C$12:$C$475) &gt;= U$93), 0), 0)), "")</f>
        <v/>
      </c>
      <c r="V97" s="34" t="str" cm="1">
        <f t="array" ref="V97">IFERROR(INDEX(FORECAST!$D$12:$D$475, MATCH(1, INDEX((ISNUMBER(SEARCH($B97, FORECAST!$A$12:$A$475))) * (INT(FORECAST!$B$12:$B$475) &lt;= V$93) * (INT(FORECAST!$C$12:$C$475) &gt;= V$93), 0), 0)), "")</f>
        <v/>
      </c>
      <c r="W97" s="34" t="str" cm="1">
        <f t="array" ref="W97">IFERROR(INDEX(FORECAST!$D$12:$D$475, MATCH(1, INDEX((ISNUMBER(SEARCH($B97, FORECAST!$A$12:$A$475))) * (INT(FORECAST!$B$12:$B$475) &lt;= W$93) * (INT(FORECAST!$C$12:$C$475) &gt;= W$93), 0), 0)), "")</f>
        <v/>
      </c>
      <c r="X97" s="34" t="str" cm="1">
        <f t="array" ref="X97">IFERROR(INDEX(FORECAST!$D$12:$D$475, MATCH(1, INDEX((ISNUMBER(SEARCH($B97, FORECAST!$A$12:$A$475))) * (INT(FORECAST!$B$12:$B$475) &lt;= X$93) * (INT(FORECAST!$C$12:$C$475) &gt;= X$93), 0), 0)), "")</f>
        <v/>
      </c>
      <c r="Y97" s="34" t="str" cm="1">
        <f t="array" ref="Y97">IFERROR(INDEX(FORECAST!$D$12:$D$475, MATCH(1, INDEX((ISNUMBER(SEARCH($B97, FORECAST!$A$12:$A$475))) * (INT(FORECAST!$B$12:$B$475) &lt;= Y$93) * (INT(FORECAST!$C$12:$C$475) &gt;= Y$93), 0), 0)), "")</f>
        <v/>
      </c>
      <c r="Z97" s="34" t="str" cm="1">
        <f t="array" ref="Z97">IFERROR(INDEX(FORECAST!$D$12:$D$475, MATCH(1, INDEX((ISNUMBER(SEARCH($B97, FORECAST!$A$12:$A$475))) * (INT(FORECAST!$B$12:$B$475) &lt;= Z$93) * (INT(FORECAST!$C$12:$C$475) &gt;= Z$93), 0), 0)), "")</f>
        <v>Presupuesto</v>
      </c>
      <c r="AA97" s="34" t="str" cm="1">
        <f t="array" ref="AA97">IFERROR(INDEX(FORECAST!$D$12:$D$475, MATCH(1, INDEX((ISNUMBER(SEARCH($B97, FORECAST!$A$12:$A$475))) * (INT(FORECAST!$B$12:$B$475) &lt;= AA$93) * (INT(FORECAST!$C$12:$C$475) &gt;= AA$93), 0), 0)), "")</f>
        <v>Presupuesto</v>
      </c>
      <c r="AB97" s="34" t="str" cm="1">
        <f t="array" ref="AB97">IFERROR(INDEX(FORECAST!$D$12:$D$475, MATCH(1, INDEX((ISNUMBER(SEARCH($B97, FORECAST!$A$12:$A$475))) * (INT(FORECAST!$B$12:$B$475) &lt;= AB$93) * (INT(FORECAST!$C$12:$C$475) &gt;= AB$93), 0), 0)), "")</f>
        <v>Presupuesto</v>
      </c>
      <c r="AC97" s="34" t="str" cm="1">
        <f t="array" ref="AC97">IFERROR(INDEX(FORECAST!$D$12:$D$475, MATCH(1, INDEX((ISNUMBER(SEARCH($B97, FORECAST!$A$12:$A$475))) * (INT(FORECAST!$B$12:$B$475) &lt;= AC$93) * (INT(FORECAST!$C$12:$C$475) &gt;= AC$93), 0), 0)), "")</f>
        <v>Presupuesto</v>
      </c>
      <c r="AD97" s="34" t="str" cm="1">
        <f t="array" ref="AD97">IFERROR(INDEX(FORECAST!$D$12:$D$475, MATCH(1, INDEX((ISNUMBER(SEARCH($B97, FORECAST!$A$12:$A$475))) * (INT(FORECAST!$B$12:$B$475) &lt;= AD$93) * (INT(FORECAST!$C$12:$C$475) &gt;= AD$93), 0), 0)), "")</f>
        <v/>
      </c>
      <c r="AE97" s="34" t="str" cm="1">
        <f t="array" ref="AE97">IFERROR(INDEX(FORECAST!$D$12:$D$475, MATCH(1, INDEX((ISNUMBER(SEARCH($B97, FORECAST!$A$12:$A$475))) * (INT(FORECAST!$B$12:$B$475) &lt;= AE$93) * (INT(FORECAST!$C$12:$C$475) &gt;= AE$93), 0), 0)), "")</f>
        <v/>
      </c>
      <c r="AF97" s="34" t="str" cm="1">
        <f t="array" ref="AF97">IFERROR(INDEX(FORECAST!$D$12:$D$475, MATCH(1, INDEX((ISNUMBER(SEARCH($B97, FORECAST!$A$12:$A$475))) * (INT(FORECAST!$B$12:$B$475) &lt;= AF$93) * (INT(FORECAST!$C$12:$C$475) &gt;= AF$93), 0), 0)), "")</f>
        <v/>
      </c>
      <c r="AG97" s="34" t="str" cm="1">
        <f t="array" ref="AG97">IFERROR(INDEX(FORECAST!$D$12:$D$475, MATCH(1, INDEX((ISNUMBER(SEARCH($B97, FORECAST!$A$12:$A$475))) * (INT(FORECAST!$B$12:$B$475) &lt;= AG$93) * (INT(FORECAST!$C$12:$C$475) &gt;= AG$93), 0), 0)), "")</f>
        <v/>
      </c>
      <c r="AH97" s="9"/>
      <c r="AI97" s="2"/>
      <c r="AJ97" s="45">
        <f t="shared" ref="AJ97:AJ101" si="7">COUNTIF(C97:AG97,"Garantizado")/31</f>
        <v>0</v>
      </c>
    </row>
    <row r="98" spans="1:38" x14ac:dyDescent="0.25">
      <c r="A98" s="69"/>
      <c r="B98" s="26" t="s">
        <v>522</v>
      </c>
      <c r="C98" s="34" t="str" cm="1">
        <f t="array" ref="C98">IFERROR(INDEX(FORECAST!$D$12:$D$475, MATCH(1, INDEX((ISNUMBER(SEARCH($B98, FORECAST!$A$12:$A$475))) * (INT(FORECAST!$B$12:$B$475) &lt;= C$93) * (INT(FORECAST!$C$12:$C$475) &gt;= C$93), 0), 0)), "")</f>
        <v/>
      </c>
      <c r="D98" s="34" t="str" cm="1">
        <f t="array" ref="D98">IFERROR(INDEX(FORECAST!$D$12:$D$475, MATCH(1, INDEX((ISNUMBER(SEARCH($B98, FORECAST!$A$12:$A$475))) * (INT(FORECAST!$B$12:$B$475) &lt;= D$93) * (INT(FORECAST!$C$12:$C$475) &gt;= D$93), 0), 0)), "")</f>
        <v/>
      </c>
      <c r="E98" s="34" t="str" cm="1">
        <f t="array" ref="E98">IFERROR(INDEX(FORECAST!$D$12:$D$475, MATCH(1, INDEX((ISNUMBER(SEARCH($B98, FORECAST!$A$12:$A$475))) * (INT(FORECAST!$B$12:$B$475) &lt;= E$93) * (INT(FORECAST!$C$12:$C$475) &gt;= E$93), 0), 0)), "")</f>
        <v/>
      </c>
      <c r="F98" s="34" t="str" cm="1">
        <f t="array" ref="F98">IFERROR(INDEX(FORECAST!$D$12:$D$475, MATCH(1, INDEX((ISNUMBER(SEARCH($B98, FORECAST!$A$12:$A$475))) * (INT(FORECAST!$B$12:$B$475) &lt;= F$93) * (INT(FORECAST!$C$12:$C$475) &gt;= F$93), 0), 0)), "")</f>
        <v/>
      </c>
      <c r="G98" s="34" t="str" cm="1">
        <f t="array" ref="G98">IFERROR(INDEX(FORECAST!$D$12:$D$475, MATCH(1, INDEX((ISNUMBER(SEARCH($B98, FORECAST!$A$12:$A$475))) * (INT(FORECAST!$B$12:$B$475) &lt;= G$93) * (INT(FORECAST!$C$12:$C$475) &gt;= G$93), 0), 0)), "")</f>
        <v/>
      </c>
      <c r="H98" s="34" t="str" cm="1">
        <f t="array" ref="H98">IFERROR(INDEX(FORECAST!$D$12:$D$475, MATCH(1, INDEX((ISNUMBER(SEARCH($B98, FORECAST!$A$12:$A$475))) * (INT(FORECAST!$B$12:$B$475) &lt;= H$93) * (INT(FORECAST!$C$12:$C$475) &gt;= H$93), 0), 0)), "")</f>
        <v/>
      </c>
      <c r="I98" s="34" t="str" cm="1">
        <f t="array" ref="I98">IFERROR(INDEX(FORECAST!$D$12:$D$475, MATCH(1, INDEX((ISNUMBER(SEARCH($B98, FORECAST!$A$12:$A$475))) * (INT(FORECAST!$B$12:$B$475) &lt;= I$93) * (INT(FORECAST!$C$12:$C$475) &gt;= I$93), 0), 0)), "")</f>
        <v>Tentativo</v>
      </c>
      <c r="J98" s="34" t="str" cm="1">
        <f t="array" ref="J98">IFERROR(INDEX(FORECAST!$D$12:$D$475, MATCH(1, INDEX((ISNUMBER(SEARCH($B98, FORECAST!$A$12:$A$475))) * (INT(FORECAST!$B$12:$B$475) &lt;= J$93) * (INT(FORECAST!$C$12:$C$475) &gt;= J$93), 0), 0)), "")</f>
        <v/>
      </c>
      <c r="K98" s="34" t="str" cm="1">
        <f t="array" ref="K98">IFERROR(INDEX(FORECAST!$D$12:$D$475, MATCH(1, INDEX((ISNUMBER(SEARCH($B98, FORECAST!$A$12:$A$475))) * (INT(FORECAST!$B$12:$B$475) &lt;= K$93) * (INT(FORECAST!$C$12:$C$475) &gt;= K$93), 0), 0)), "")</f>
        <v/>
      </c>
      <c r="L98" s="34" t="str" cm="1">
        <f t="array" ref="L98">IFERROR(INDEX(FORECAST!$D$12:$D$475, MATCH(1, INDEX((ISNUMBER(SEARCH($B98, FORECAST!$A$12:$A$475))) * (INT(FORECAST!$B$12:$B$475) &lt;= L$93) * (INT(FORECAST!$C$12:$C$475) &gt;= L$93), 0), 0)), "")</f>
        <v/>
      </c>
      <c r="M98" s="34" t="str" cm="1">
        <f t="array" ref="M98">IFERROR(INDEX(FORECAST!$D$12:$D$475, MATCH(1, INDEX((ISNUMBER(SEARCH($B98, FORECAST!$A$12:$A$475))) * (INT(FORECAST!$B$12:$B$475) &lt;= M$93) * (INT(FORECAST!$C$12:$C$475) &gt;= M$93), 0), 0)), "")</f>
        <v/>
      </c>
      <c r="N98" s="34" t="str" cm="1">
        <f t="array" ref="N98">IFERROR(INDEX(FORECAST!$D$12:$D$475, MATCH(1, INDEX((ISNUMBER(SEARCH($B98, FORECAST!$A$12:$A$475))) * (INT(FORECAST!$B$12:$B$475) &lt;= N$93) * (INT(FORECAST!$C$12:$C$475) &gt;= N$93), 0), 0)), "")</f>
        <v>Presupuesto</v>
      </c>
      <c r="O98" s="34" t="str" cm="1">
        <f t="array" ref="O98">IFERROR(INDEX(FORECAST!$D$12:$D$475, MATCH(1, INDEX((ISNUMBER(SEARCH($B98, FORECAST!$A$12:$A$475))) * (INT(FORECAST!$B$12:$B$475) &lt;= O$93) * (INT(FORECAST!$C$12:$C$475) &gt;= O$93), 0), 0)), "")</f>
        <v>Presupuesto</v>
      </c>
      <c r="P98" s="34" t="str" cm="1">
        <f t="array" ref="P98">IFERROR(INDEX(FORECAST!$D$12:$D$475, MATCH(1, INDEX((ISNUMBER(SEARCH($B98, FORECAST!$A$12:$A$475))) * (INT(FORECAST!$B$12:$B$475) &lt;= P$93) * (INT(FORECAST!$C$12:$C$475) &gt;= P$93), 0), 0)), "")</f>
        <v>Presupuesto</v>
      </c>
      <c r="Q98" s="34" t="str" cm="1">
        <f t="array" ref="Q98">IFERROR(INDEX(FORECAST!$D$12:$D$475, MATCH(1, INDEX((ISNUMBER(SEARCH($B98, FORECAST!$A$12:$A$475))) * (INT(FORECAST!$B$12:$B$475) &lt;= Q$93) * (INT(FORECAST!$C$12:$C$475) &gt;= Q$93), 0), 0)), "")</f>
        <v/>
      </c>
      <c r="R98" s="34" t="str" cm="1">
        <f t="array" ref="R98">IFERROR(INDEX(FORECAST!$D$12:$D$475, MATCH(1, INDEX((ISNUMBER(SEARCH($B98, FORECAST!$A$12:$A$475))) * (INT(FORECAST!$B$12:$B$475) &lt;= R$93) * (INT(FORECAST!$C$12:$C$475) &gt;= R$93), 0), 0)), "")</f>
        <v/>
      </c>
      <c r="S98" s="34" t="str" cm="1">
        <f t="array" ref="S98">IFERROR(INDEX(FORECAST!$D$12:$D$475, MATCH(1, INDEX((ISNUMBER(SEARCH($B98, FORECAST!$A$12:$A$475))) * (INT(FORECAST!$B$12:$B$475) &lt;= S$93) * (INT(FORECAST!$C$12:$C$475) &gt;= S$93), 0), 0)), "")</f>
        <v/>
      </c>
      <c r="T98" s="34" t="str" cm="1">
        <f t="array" ref="T98">IFERROR(INDEX(FORECAST!$D$12:$D$475, MATCH(1, INDEX((ISNUMBER(SEARCH($B98, FORECAST!$A$12:$A$475))) * (INT(FORECAST!$B$12:$B$475) &lt;= T$93) * (INT(FORECAST!$C$12:$C$475) &gt;= T$93), 0), 0)), "")</f>
        <v/>
      </c>
      <c r="U98" s="34" t="str" cm="1">
        <f t="array" ref="U98">IFERROR(INDEX(FORECAST!$D$12:$D$475, MATCH(1, INDEX((ISNUMBER(SEARCH($B98, FORECAST!$A$12:$A$475))) * (INT(FORECAST!$B$12:$B$475) &lt;= U$93) * (INT(FORECAST!$C$12:$C$475) &gt;= U$93), 0), 0)), "")</f>
        <v/>
      </c>
      <c r="V98" s="34" t="str" cm="1">
        <f t="array" ref="V98">IFERROR(INDEX(FORECAST!$D$12:$D$475, MATCH(1, INDEX((ISNUMBER(SEARCH($B98, FORECAST!$A$12:$A$475))) * (INT(FORECAST!$B$12:$B$475) &lt;= V$93) * (INT(FORECAST!$C$12:$C$475) &gt;= V$93), 0), 0)), "")</f>
        <v/>
      </c>
      <c r="W98" s="34" t="str" cm="1">
        <f t="array" ref="W98">IFERROR(INDEX(FORECAST!$D$12:$D$475, MATCH(1, INDEX((ISNUMBER(SEARCH($B98, FORECAST!$A$12:$A$475))) * (INT(FORECAST!$B$12:$B$475) &lt;= W$93) * (INT(FORECAST!$C$12:$C$475) &gt;= W$93), 0), 0)), "")</f>
        <v/>
      </c>
      <c r="X98" s="34" t="str" cm="1">
        <f t="array" ref="X98">IFERROR(INDEX(FORECAST!$D$12:$D$475, MATCH(1, INDEX((ISNUMBER(SEARCH($B98, FORECAST!$A$12:$A$475))) * (INT(FORECAST!$B$12:$B$475) &lt;= X$93) * (INT(FORECAST!$C$12:$C$475) &gt;= X$93), 0), 0)), "")</f>
        <v/>
      </c>
      <c r="Y98" s="34" t="str" cm="1">
        <f t="array" ref="Y98">IFERROR(INDEX(FORECAST!$D$12:$D$475, MATCH(1, INDEX((ISNUMBER(SEARCH($B98, FORECAST!$A$12:$A$475))) * (INT(FORECAST!$B$12:$B$475) &lt;= Y$93) * (INT(FORECAST!$C$12:$C$475) &gt;= Y$93), 0), 0)), "")</f>
        <v/>
      </c>
      <c r="Z98" s="34" t="str" cm="1">
        <f t="array" ref="Z98">IFERROR(INDEX(FORECAST!$D$12:$D$475, MATCH(1, INDEX((ISNUMBER(SEARCH($B98, FORECAST!$A$12:$A$475))) * (INT(FORECAST!$B$12:$B$475) &lt;= Z$93) * (INT(FORECAST!$C$12:$C$475) &gt;= Z$93), 0), 0)), "")</f>
        <v>Presupuesto</v>
      </c>
      <c r="AA98" s="34" t="str" cm="1">
        <f t="array" ref="AA98">IFERROR(INDEX(FORECAST!$D$12:$D$475, MATCH(1, INDEX((ISNUMBER(SEARCH($B98, FORECAST!$A$12:$A$475))) * (INT(FORECAST!$B$12:$B$475) &lt;= AA$93) * (INT(FORECAST!$C$12:$C$475) &gt;= AA$93), 0), 0)), "")</f>
        <v>Presupuesto</v>
      </c>
      <c r="AB98" s="34" t="str" cm="1">
        <f t="array" ref="AB98">IFERROR(INDEX(FORECAST!$D$12:$D$475, MATCH(1, INDEX((ISNUMBER(SEARCH($B98, FORECAST!$A$12:$A$475))) * (INT(FORECAST!$B$12:$B$475) &lt;= AB$93) * (INT(FORECAST!$C$12:$C$475) &gt;= AB$93), 0), 0)), "")</f>
        <v>Presupuesto</v>
      </c>
      <c r="AC98" s="34" t="str" cm="1">
        <f t="array" ref="AC98">IFERROR(INDEX(FORECAST!$D$12:$D$475, MATCH(1, INDEX((ISNUMBER(SEARCH($B98, FORECAST!$A$12:$A$475))) * (INT(FORECAST!$B$12:$B$475) &lt;= AC$93) * (INT(FORECAST!$C$12:$C$475) &gt;= AC$93), 0), 0)), "")</f>
        <v>Garantizado</v>
      </c>
      <c r="AD98" s="34" t="str" cm="1">
        <f t="array" ref="AD98">IFERROR(INDEX(FORECAST!$D$12:$D$475, MATCH(1, INDEX((ISNUMBER(SEARCH($B98, FORECAST!$A$12:$A$475))) * (INT(FORECAST!$B$12:$B$475) &lt;= AD$93) * (INT(FORECAST!$C$12:$C$475) &gt;= AD$93), 0), 0)), "")</f>
        <v/>
      </c>
      <c r="AE98" s="34" t="str" cm="1">
        <f t="array" ref="AE98">IFERROR(INDEX(FORECAST!$D$12:$D$475, MATCH(1, INDEX((ISNUMBER(SEARCH($B98, FORECAST!$A$12:$A$475))) * (INT(FORECAST!$B$12:$B$475) &lt;= AE$93) * (INT(FORECAST!$C$12:$C$475) &gt;= AE$93), 0), 0)), "")</f>
        <v/>
      </c>
      <c r="AF98" s="34" t="str" cm="1">
        <f t="array" ref="AF98">IFERROR(INDEX(FORECAST!$D$12:$D$475, MATCH(1, INDEX((ISNUMBER(SEARCH($B98, FORECAST!$A$12:$A$475))) * (INT(FORECAST!$B$12:$B$475) &lt;= AF$93) * (INT(FORECAST!$C$12:$C$475) &gt;= AF$93), 0), 0)), "")</f>
        <v/>
      </c>
      <c r="AG98" s="34" t="str" cm="1">
        <f t="array" ref="AG98">IFERROR(INDEX(FORECAST!$D$12:$D$475, MATCH(1, INDEX((ISNUMBER(SEARCH($B98, FORECAST!$A$12:$A$475))) * (INT(FORECAST!$B$12:$B$475) &lt;= AG$93) * (INT(FORECAST!$C$12:$C$475) &gt;= AG$93), 0), 0)), "")</f>
        <v/>
      </c>
      <c r="AH98" s="9"/>
      <c r="AI98" s="2"/>
      <c r="AJ98" s="45">
        <f t="shared" si="7"/>
        <v>3.2258064516129031E-2</v>
      </c>
    </row>
    <row r="99" spans="1:38" x14ac:dyDescent="0.25">
      <c r="A99" s="69"/>
      <c r="B99" s="26" t="s">
        <v>523</v>
      </c>
      <c r="C99" s="34" t="str" cm="1">
        <f t="array" ref="C99">IFERROR(INDEX(FORECAST!$D$12:$D$475, MATCH(1, INDEX((ISNUMBER(SEARCH($B99, FORECAST!$A$12:$A$475))) * (INT(FORECAST!$B$12:$B$475) &lt;= C$93) * (INT(FORECAST!$C$12:$C$475) &gt;= C$93), 0), 0)), "")</f>
        <v>Tentativo</v>
      </c>
      <c r="D99" s="34" t="str" cm="1">
        <f t="array" ref="D99">IFERROR(INDEX(FORECAST!$D$12:$D$475, MATCH(1, INDEX((ISNUMBER(SEARCH($B99, FORECAST!$A$12:$A$475))) * (INT(FORECAST!$B$12:$B$475) &lt;= D$93) * (INT(FORECAST!$C$12:$C$475) &gt;= D$93), 0), 0)), "")</f>
        <v/>
      </c>
      <c r="E99" s="34" t="str" cm="1">
        <f t="array" ref="E99">IFERROR(INDEX(FORECAST!$D$12:$D$475, MATCH(1, INDEX((ISNUMBER(SEARCH($B99, FORECAST!$A$12:$A$475))) * (INT(FORECAST!$B$12:$B$475) &lt;= E$93) * (INT(FORECAST!$C$12:$C$475) &gt;= E$93), 0), 0)), "")</f>
        <v/>
      </c>
      <c r="F99" s="34" t="str" cm="1">
        <f t="array" ref="F99">IFERROR(INDEX(FORECAST!$D$12:$D$475, MATCH(1, INDEX((ISNUMBER(SEARCH($B99, FORECAST!$A$12:$A$475))) * (INT(FORECAST!$B$12:$B$475) &lt;= F$93) * (INT(FORECAST!$C$12:$C$475) &gt;= F$93), 0), 0)), "")</f>
        <v/>
      </c>
      <c r="G99" s="34" t="str" cm="1">
        <f t="array" ref="G99">IFERROR(INDEX(FORECAST!$D$12:$D$475, MATCH(1, INDEX((ISNUMBER(SEARCH($B99, FORECAST!$A$12:$A$475))) * (INT(FORECAST!$B$12:$B$475) &lt;= G$93) * (INT(FORECAST!$C$12:$C$475) &gt;= G$93), 0), 0)), "")</f>
        <v/>
      </c>
      <c r="H99" s="34" t="str" cm="1">
        <f t="array" ref="H99">IFERROR(INDEX(FORECAST!$D$12:$D$475, MATCH(1, INDEX((ISNUMBER(SEARCH($B99, FORECAST!$A$12:$A$475))) * (INT(FORECAST!$B$12:$B$475) &lt;= H$93) * (INT(FORECAST!$C$12:$C$475) &gt;= H$93), 0), 0)), "")</f>
        <v/>
      </c>
      <c r="I99" s="34" t="str" cm="1">
        <f t="array" ref="I99">IFERROR(INDEX(FORECAST!$D$12:$D$475, MATCH(1, INDEX((ISNUMBER(SEARCH($B99, FORECAST!$A$12:$A$475))) * (INT(FORECAST!$B$12:$B$475) &lt;= I$93) * (INT(FORECAST!$C$12:$C$475) &gt;= I$93), 0), 0)), "")</f>
        <v>Tentativo</v>
      </c>
      <c r="J99" s="34" t="str" cm="1">
        <f t="array" ref="J99">IFERROR(INDEX(FORECAST!$D$12:$D$475, MATCH(1, INDEX((ISNUMBER(SEARCH($B99, FORECAST!$A$12:$A$475))) * (INT(FORECAST!$B$12:$B$475) &lt;= J$93) * (INT(FORECAST!$C$12:$C$475) &gt;= J$93), 0), 0)), "")</f>
        <v/>
      </c>
      <c r="K99" s="34" t="str" cm="1">
        <f t="array" ref="K99">IFERROR(INDEX(FORECAST!$D$12:$D$475, MATCH(1, INDEX((ISNUMBER(SEARCH($B99, FORECAST!$A$12:$A$475))) * (INT(FORECAST!$B$12:$B$475) &lt;= K$93) * (INT(FORECAST!$C$12:$C$475) &gt;= K$93), 0), 0)), "")</f>
        <v/>
      </c>
      <c r="L99" s="34" t="str" cm="1">
        <f t="array" ref="L99">IFERROR(INDEX(FORECAST!$D$12:$D$475, MATCH(1, INDEX((ISNUMBER(SEARCH($B99, FORECAST!$A$12:$A$475))) * (INT(FORECAST!$B$12:$B$475) &lt;= L$93) * (INT(FORECAST!$C$12:$C$475) &gt;= L$93), 0), 0)), "")</f>
        <v/>
      </c>
      <c r="M99" s="34" t="str" cm="1">
        <f t="array" ref="M99">IFERROR(INDEX(FORECAST!$D$12:$D$475, MATCH(1, INDEX((ISNUMBER(SEARCH($B99, FORECAST!$A$12:$A$475))) * (INT(FORECAST!$B$12:$B$475) &lt;= M$93) * (INT(FORECAST!$C$12:$C$475) &gt;= M$93), 0), 0)), "")</f>
        <v/>
      </c>
      <c r="N99" s="34" t="str" cm="1">
        <f t="array" ref="N99">IFERROR(INDEX(FORECAST!$D$12:$D$475, MATCH(1, INDEX((ISNUMBER(SEARCH($B99, FORECAST!$A$12:$A$475))) * (INT(FORECAST!$B$12:$B$475) &lt;= N$93) * (INT(FORECAST!$C$12:$C$475) &gt;= N$93), 0), 0)), "")</f>
        <v/>
      </c>
      <c r="O99" s="34" t="str" cm="1">
        <f t="array" ref="O99">IFERROR(INDEX(FORECAST!$D$12:$D$475, MATCH(1, INDEX((ISNUMBER(SEARCH($B99, FORECAST!$A$12:$A$475))) * (INT(FORECAST!$B$12:$B$475) &lt;= O$93) * (INT(FORECAST!$C$12:$C$475) &gt;= O$93), 0), 0)), "")</f>
        <v>Garantizado</v>
      </c>
      <c r="P99" s="34" t="str" cm="1">
        <f t="array" ref="P99">IFERROR(INDEX(FORECAST!$D$12:$D$475, MATCH(1, INDEX((ISNUMBER(SEARCH($B99, FORECAST!$A$12:$A$475))) * (INT(FORECAST!$B$12:$B$475) &lt;= P$93) * (INT(FORECAST!$C$12:$C$475) &gt;= P$93), 0), 0)), "")</f>
        <v>Garantizado</v>
      </c>
      <c r="Q99" s="34" t="str" cm="1">
        <f t="array" ref="Q99">IFERROR(INDEX(FORECAST!$D$12:$D$475, MATCH(1, INDEX((ISNUMBER(SEARCH($B99, FORECAST!$A$12:$A$475))) * (INT(FORECAST!$B$12:$B$475) &lt;= Q$93) * (INT(FORECAST!$C$12:$C$475) &gt;= Q$93), 0), 0)), "")</f>
        <v>Garantizado</v>
      </c>
      <c r="R99" s="34" t="str" cm="1">
        <f t="array" ref="R99">IFERROR(INDEX(FORECAST!$D$12:$D$475, MATCH(1, INDEX((ISNUMBER(SEARCH($B99, FORECAST!$A$12:$A$475))) * (INT(FORECAST!$B$12:$B$475) &lt;= R$93) * (INT(FORECAST!$C$12:$C$475) &gt;= R$93), 0), 0)), "")</f>
        <v>Garantizado</v>
      </c>
      <c r="S99" s="34" t="str" cm="1">
        <f t="array" ref="S99">IFERROR(INDEX(FORECAST!$D$12:$D$475, MATCH(1, INDEX((ISNUMBER(SEARCH($B99, FORECAST!$A$12:$A$475))) * (INT(FORECAST!$B$12:$B$475) &lt;= S$93) * (INT(FORECAST!$C$12:$C$475) &gt;= S$93), 0), 0)), "")</f>
        <v/>
      </c>
      <c r="T99" s="34" t="str" cm="1">
        <f t="array" ref="T99">IFERROR(INDEX(FORECAST!$D$12:$D$475, MATCH(1, INDEX((ISNUMBER(SEARCH($B99, FORECAST!$A$12:$A$475))) * (INT(FORECAST!$B$12:$B$475) &lt;= T$93) * (INT(FORECAST!$C$12:$C$475) &gt;= T$93), 0), 0)), "")</f>
        <v/>
      </c>
      <c r="U99" s="34" t="str" cm="1">
        <f t="array" ref="U99">IFERROR(INDEX(FORECAST!$D$12:$D$475, MATCH(1, INDEX((ISNUMBER(SEARCH($B99, FORECAST!$A$12:$A$475))) * (INT(FORECAST!$B$12:$B$475) &lt;= U$93) * (INT(FORECAST!$C$12:$C$475) &gt;= U$93), 0), 0)), "")</f>
        <v/>
      </c>
      <c r="V99" s="34" t="str" cm="1">
        <f t="array" ref="V99">IFERROR(INDEX(FORECAST!$D$12:$D$475, MATCH(1, INDEX((ISNUMBER(SEARCH($B99, FORECAST!$A$12:$A$475))) * (INT(FORECAST!$B$12:$B$475) &lt;= V$93) * (INT(FORECAST!$C$12:$C$475) &gt;= V$93), 0), 0)), "")</f>
        <v/>
      </c>
      <c r="W99" s="34" t="str" cm="1">
        <f t="array" ref="W99">IFERROR(INDEX(FORECAST!$D$12:$D$475, MATCH(1, INDEX((ISNUMBER(SEARCH($B99, FORECAST!$A$12:$A$475))) * (INT(FORECAST!$B$12:$B$475) &lt;= W$93) * (INT(FORECAST!$C$12:$C$475) &gt;= W$93), 0), 0)), "")</f>
        <v>Tentativo</v>
      </c>
      <c r="X99" s="34" t="str" cm="1">
        <f t="array" ref="X99">IFERROR(INDEX(FORECAST!$D$12:$D$475, MATCH(1, INDEX((ISNUMBER(SEARCH($B99, FORECAST!$A$12:$A$475))) * (INT(FORECAST!$B$12:$B$475) &lt;= X$93) * (INT(FORECAST!$C$12:$C$475) &gt;= X$93), 0), 0)), "")</f>
        <v/>
      </c>
      <c r="Y99" s="34" t="str" cm="1">
        <f t="array" ref="Y99">IFERROR(INDEX(FORECAST!$D$12:$D$475, MATCH(1, INDEX((ISNUMBER(SEARCH($B99, FORECAST!$A$12:$A$475))) * (INT(FORECAST!$B$12:$B$475) &lt;= Y$93) * (INT(FORECAST!$C$12:$C$475) &gt;= Y$93), 0), 0)), "")</f>
        <v/>
      </c>
      <c r="Z99" s="34" t="str" cm="1">
        <f t="array" ref="Z99">IFERROR(INDEX(FORECAST!$D$12:$D$475, MATCH(1, INDEX((ISNUMBER(SEARCH($B99, FORECAST!$A$12:$A$475))) * (INT(FORECAST!$B$12:$B$475) &lt;= Z$93) * (INT(FORECAST!$C$12:$C$475) &gt;= Z$93), 0), 0)), "")</f>
        <v/>
      </c>
      <c r="AA99" s="34" t="str" cm="1">
        <f t="array" ref="AA99">IFERROR(INDEX(FORECAST!$D$12:$D$475, MATCH(1, INDEX((ISNUMBER(SEARCH($B99, FORECAST!$A$12:$A$475))) * (INT(FORECAST!$B$12:$B$475) &lt;= AA$93) * (INT(FORECAST!$C$12:$C$475) &gt;= AA$93), 0), 0)), "")</f>
        <v/>
      </c>
      <c r="AB99" s="34" t="str" cm="1">
        <f t="array" ref="AB99">IFERROR(INDEX(FORECAST!$D$12:$D$475, MATCH(1, INDEX((ISNUMBER(SEARCH($B99, FORECAST!$A$12:$A$475))) * (INT(FORECAST!$B$12:$B$475) &lt;= AB$93) * (INT(FORECAST!$C$12:$C$475) &gt;= AB$93), 0), 0)), "")</f>
        <v>Presupuesto</v>
      </c>
      <c r="AC99" s="34" t="str" cm="1">
        <f t="array" ref="AC99">IFERROR(INDEX(FORECAST!$D$12:$D$475, MATCH(1, INDEX((ISNUMBER(SEARCH($B99, FORECAST!$A$12:$A$475))) * (INT(FORECAST!$B$12:$B$475) &lt;= AC$93) * (INT(FORECAST!$C$12:$C$475) &gt;= AC$93), 0), 0)), "")</f>
        <v/>
      </c>
      <c r="AD99" s="34" t="str" cm="1">
        <f t="array" ref="AD99">IFERROR(INDEX(FORECAST!$D$12:$D$475, MATCH(1, INDEX((ISNUMBER(SEARCH($B99, FORECAST!$A$12:$A$475))) * (INT(FORECAST!$B$12:$B$475) &lt;= AD$93) * (INT(FORECAST!$C$12:$C$475) &gt;= AD$93), 0), 0)), "")</f>
        <v/>
      </c>
      <c r="AE99" s="34" t="str" cm="1">
        <f t="array" ref="AE99">IFERROR(INDEX(FORECAST!$D$12:$D$475, MATCH(1, INDEX((ISNUMBER(SEARCH($B99, FORECAST!$A$12:$A$475))) * (INT(FORECAST!$B$12:$B$475) &lt;= AE$93) * (INT(FORECAST!$C$12:$C$475) &gt;= AE$93), 0), 0)), "")</f>
        <v/>
      </c>
      <c r="AF99" s="34" t="str" cm="1">
        <f t="array" ref="AF99">IFERROR(INDEX(FORECAST!$D$12:$D$475, MATCH(1, INDEX((ISNUMBER(SEARCH($B99, FORECAST!$A$12:$A$475))) * (INT(FORECAST!$B$12:$B$475) &lt;= AF$93) * (INT(FORECAST!$C$12:$C$475) &gt;= AF$93), 0), 0)), "")</f>
        <v/>
      </c>
      <c r="AG99" s="34" t="str" cm="1">
        <f t="array" ref="AG99">IFERROR(INDEX(FORECAST!$D$12:$D$475, MATCH(1, INDEX((ISNUMBER(SEARCH($B99, FORECAST!$A$12:$A$475))) * (INT(FORECAST!$B$12:$B$475) &lt;= AG$93) * (INT(FORECAST!$C$12:$C$475) &gt;= AG$93), 0), 0)), "")</f>
        <v/>
      </c>
      <c r="AH99" s="9"/>
      <c r="AI99" s="2"/>
      <c r="AJ99" s="45">
        <f t="shared" si="7"/>
        <v>0.12903225806451613</v>
      </c>
    </row>
    <row r="100" spans="1:38" x14ac:dyDescent="0.25">
      <c r="A100" s="69"/>
      <c r="B100" s="26" t="s">
        <v>9</v>
      </c>
      <c r="C100" s="34" t="str" cm="1">
        <f t="array" ref="C100">IFERROR(INDEX(FORECAST!$D$12:$D$475, MATCH(1, INDEX((ISNUMBER(SEARCH($B100, FORECAST!$A$12:$A$475))) * (INT(FORECAST!$B$12:$B$475) &lt;= C$93) * (INT(FORECAST!$C$12:$C$475) &gt;= C$93), 0), 0)), "")</f>
        <v/>
      </c>
      <c r="D100" s="34" t="str" cm="1">
        <f t="array" ref="D100">IFERROR(INDEX(FORECAST!$D$12:$D$475, MATCH(1, INDEX((ISNUMBER(SEARCH($B100, FORECAST!$A$12:$A$475))) * (INT(FORECAST!$B$12:$B$475) &lt;= D$93) * (INT(FORECAST!$C$12:$C$475) &gt;= D$93), 0), 0)), "")</f>
        <v/>
      </c>
      <c r="E100" s="34" t="str" cm="1">
        <f t="array" ref="E100">IFERROR(INDEX(FORECAST!$D$12:$D$475, MATCH(1, INDEX((ISNUMBER(SEARCH($B100, FORECAST!$A$12:$A$475))) * (INT(FORECAST!$B$12:$B$475) &lt;= E$93) * (INT(FORECAST!$C$12:$C$475) &gt;= E$93), 0), 0)), "")</f>
        <v/>
      </c>
      <c r="F100" s="34" t="str" cm="1">
        <f t="array" ref="F100">IFERROR(INDEX(FORECAST!$D$12:$D$475, MATCH(1, INDEX((ISNUMBER(SEARCH($B100, FORECAST!$A$12:$A$475))) * (INT(FORECAST!$B$12:$B$475) &lt;= F$93) * (INT(FORECAST!$C$12:$C$475) &gt;= F$93), 0), 0)), "")</f>
        <v/>
      </c>
      <c r="G100" s="34" t="str" cm="1">
        <f t="array" ref="G100">IFERROR(INDEX(FORECAST!$D$12:$D$475, MATCH(1, INDEX((ISNUMBER(SEARCH($B100, FORECAST!$A$12:$A$475))) * (INT(FORECAST!$B$12:$B$475) &lt;= G$93) * (INT(FORECAST!$C$12:$C$475) &gt;= G$93), 0), 0)), "")</f>
        <v/>
      </c>
      <c r="H100" s="34" t="str" cm="1">
        <f t="array" ref="H100">IFERROR(INDEX(FORECAST!$D$12:$D$475, MATCH(1, INDEX((ISNUMBER(SEARCH($B100, FORECAST!$A$12:$A$475))) * (INT(FORECAST!$B$12:$B$475) &lt;= H$93) * (INT(FORECAST!$C$12:$C$475) &gt;= H$93), 0), 0)), "")</f>
        <v/>
      </c>
      <c r="I100" s="34" t="str" cm="1">
        <f t="array" ref="I100">IFERROR(INDEX(FORECAST!$D$12:$D$475, MATCH(1, INDEX((ISNUMBER(SEARCH($B100, FORECAST!$A$12:$A$475))) * (INT(FORECAST!$B$12:$B$475) &lt;= I$93) * (INT(FORECAST!$C$12:$C$475) &gt;= I$93), 0), 0)), "")</f>
        <v>Tentativo</v>
      </c>
      <c r="J100" s="34" t="str" cm="1">
        <f t="array" ref="J100">IFERROR(INDEX(FORECAST!$D$12:$D$475, MATCH(1, INDEX((ISNUMBER(SEARCH($B100, FORECAST!$A$12:$A$475))) * (INT(FORECAST!$B$12:$B$475) &lt;= J$93) * (INT(FORECAST!$C$12:$C$475) &gt;= J$93), 0), 0)), "")</f>
        <v/>
      </c>
      <c r="K100" s="34" t="str" cm="1">
        <f t="array" ref="K100">IFERROR(INDEX(FORECAST!$D$12:$D$475, MATCH(1, INDEX((ISNUMBER(SEARCH($B100, FORECAST!$A$12:$A$475))) * (INT(FORECAST!$B$12:$B$475) &lt;= K$93) * (INT(FORECAST!$C$12:$C$475) &gt;= K$93), 0), 0)), "")</f>
        <v/>
      </c>
      <c r="L100" s="34" t="str" cm="1">
        <f t="array" ref="L100">IFERROR(INDEX(FORECAST!$D$12:$D$475, MATCH(1, INDEX((ISNUMBER(SEARCH($B100, FORECAST!$A$12:$A$475))) * (INT(FORECAST!$B$12:$B$475) &lt;= L$93) * (INT(FORECAST!$C$12:$C$475) &gt;= L$93), 0), 0)), "")</f>
        <v/>
      </c>
      <c r="M100" s="34" t="str" cm="1">
        <f t="array" ref="M100">IFERROR(INDEX(FORECAST!$D$12:$D$475, MATCH(1, INDEX((ISNUMBER(SEARCH($B100, FORECAST!$A$12:$A$475))) * (INT(FORECAST!$B$12:$B$475) &lt;= M$93) * (INT(FORECAST!$C$12:$C$475) &gt;= M$93), 0), 0)), "")</f>
        <v/>
      </c>
      <c r="N100" s="34" t="str" cm="1">
        <f t="array" ref="N100">IFERROR(INDEX(FORECAST!$D$12:$D$475, MATCH(1, INDEX((ISNUMBER(SEARCH($B100, FORECAST!$A$12:$A$475))) * (INT(FORECAST!$B$12:$B$475) &lt;= N$93) * (INT(FORECAST!$C$12:$C$475) &gt;= N$93), 0), 0)), "")</f>
        <v/>
      </c>
      <c r="O100" s="34" t="str" cm="1">
        <f t="array" ref="O100">IFERROR(INDEX(FORECAST!$D$12:$D$475, MATCH(1, INDEX((ISNUMBER(SEARCH($B100, FORECAST!$A$12:$A$475))) * (INT(FORECAST!$B$12:$B$475) &lt;= O$93) * (INT(FORECAST!$C$12:$C$475) &gt;= O$93), 0), 0)), "")</f>
        <v/>
      </c>
      <c r="P100" s="34" t="str" cm="1">
        <f t="array" ref="P100">IFERROR(INDEX(FORECAST!$D$12:$D$475, MATCH(1, INDEX((ISNUMBER(SEARCH($B100, FORECAST!$A$12:$A$475))) * (INT(FORECAST!$B$12:$B$475) &lt;= P$93) * (INT(FORECAST!$C$12:$C$475) &gt;= P$93), 0), 0)), "")</f>
        <v/>
      </c>
      <c r="Q100" s="34" t="str" cm="1">
        <f t="array" ref="Q100">IFERROR(INDEX(FORECAST!$D$12:$D$475, MATCH(1, INDEX((ISNUMBER(SEARCH($B100, FORECAST!$A$12:$A$475))) * (INT(FORECAST!$B$12:$B$475) &lt;= Q$93) * (INT(FORECAST!$C$12:$C$475) &gt;= Q$93), 0), 0)), "")</f>
        <v>Garantizado</v>
      </c>
      <c r="R100" s="34" t="str" cm="1">
        <f t="array" ref="R100">IFERROR(INDEX(FORECAST!$D$12:$D$475, MATCH(1, INDEX((ISNUMBER(SEARCH($B100, FORECAST!$A$12:$A$475))) * (INT(FORECAST!$B$12:$B$475) &lt;= R$93) * (INT(FORECAST!$C$12:$C$475) &gt;= R$93), 0), 0)), "")</f>
        <v/>
      </c>
      <c r="S100" s="34" t="str" cm="1">
        <f t="array" ref="S100">IFERROR(INDEX(FORECAST!$D$12:$D$475, MATCH(1, INDEX((ISNUMBER(SEARCH($B100, FORECAST!$A$12:$A$475))) * (INT(FORECAST!$B$12:$B$475) &lt;= S$93) * (INT(FORECAST!$C$12:$C$475) &gt;= S$93), 0), 0)), "")</f>
        <v/>
      </c>
      <c r="T100" s="34" t="str" cm="1">
        <f t="array" ref="T100">IFERROR(INDEX(FORECAST!$D$12:$D$475, MATCH(1, INDEX((ISNUMBER(SEARCH($B100, FORECAST!$A$12:$A$475))) * (INT(FORECAST!$B$12:$B$475) &lt;= T$93) * (INT(FORECAST!$C$12:$C$475) &gt;= T$93), 0), 0)), "")</f>
        <v/>
      </c>
      <c r="U100" s="34" t="str" cm="1">
        <f t="array" ref="U100">IFERROR(INDEX(FORECAST!$D$12:$D$475, MATCH(1, INDEX((ISNUMBER(SEARCH($B100, FORECAST!$A$12:$A$475))) * (INT(FORECAST!$B$12:$B$475) &lt;= U$93) * (INT(FORECAST!$C$12:$C$475) &gt;= U$93), 0), 0)), "")</f>
        <v/>
      </c>
      <c r="V100" s="34" t="str" cm="1">
        <f t="array" ref="V100">IFERROR(INDEX(FORECAST!$D$12:$D$475, MATCH(1, INDEX((ISNUMBER(SEARCH($B100, FORECAST!$A$12:$A$475))) * (INT(FORECAST!$B$12:$B$475) &lt;= V$93) * (INT(FORECAST!$C$12:$C$475) &gt;= V$93), 0), 0)), "")</f>
        <v/>
      </c>
      <c r="W100" s="34" t="str" cm="1">
        <f t="array" ref="W100">IFERROR(INDEX(FORECAST!$D$12:$D$475, MATCH(1, INDEX((ISNUMBER(SEARCH($B100, FORECAST!$A$12:$A$475))) * (INT(FORECAST!$B$12:$B$475) &lt;= W$93) * (INT(FORECAST!$C$12:$C$475) &gt;= W$93), 0), 0)), "")</f>
        <v/>
      </c>
      <c r="X100" s="34" t="str" cm="1">
        <f t="array" ref="X100">IFERROR(INDEX(FORECAST!$D$12:$D$475, MATCH(1, INDEX((ISNUMBER(SEARCH($B100, FORECAST!$A$12:$A$475))) * (INT(FORECAST!$B$12:$B$475) &lt;= X$93) * (INT(FORECAST!$C$12:$C$475) &gt;= X$93), 0), 0)), "")</f>
        <v>Garantizado</v>
      </c>
      <c r="Y100" s="34" t="str" cm="1">
        <f t="array" ref="Y100">IFERROR(INDEX(FORECAST!$D$12:$D$475, MATCH(1, INDEX((ISNUMBER(SEARCH($B100, FORECAST!$A$12:$A$475))) * (INT(FORECAST!$B$12:$B$475) &lt;= Y$93) * (INT(FORECAST!$C$12:$C$475) &gt;= Y$93), 0), 0)), "")</f>
        <v/>
      </c>
      <c r="Z100" s="34" t="str" cm="1">
        <f t="array" ref="Z100">IFERROR(INDEX(FORECAST!$D$12:$D$475, MATCH(1, INDEX((ISNUMBER(SEARCH($B100, FORECAST!$A$12:$A$475))) * (INT(FORECAST!$B$12:$B$475) &lt;= Z$93) * (INT(FORECAST!$C$12:$C$475) &gt;= Z$93), 0), 0)), "")</f>
        <v>Presupuesto</v>
      </c>
      <c r="AA100" s="34" t="str" cm="1">
        <f t="array" ref="AA100">IFERROR(INDEX(FORECAST!$D$12:$D$475, MATCH(1, INDEX((ISNUMBER(SEARCH($B100, FORECAST!$A$12:$A$475))) * (INT(FORECAST!$B$12:$B$475) &lt;= AA$93) * (INT(FORECAST!$C$12:$C$475) &gt;= AA$93), 0), 0)), "")</f>
        <v>Presupuesto</v>
      </c>
      <c r="AB100" s="34" t="str" cm="1">
        <f t="array" ref="AB100">IFERROR(INDEX(FORECAST!$D$12:$D$475, MATCH(1, INDEX((ISNUMBER(SEARCH($B100, FORECAST!$A$12:$A$475))) * (INT(FORECAST!$B$12:$B$475) &lt;= AB$93) * (INT(FORECAST!$C$12:$C$475) &gt;= AB$93), 0), 0)), "")</f>
        <v>Presupuesto</v>
      </c>
      <c r="AC100" s="34" t="str" cm="1">
        <f t="array" ref="AC100">IFERROR(INDEX(FORECAST!$D$12:$D$475, MATCH(1, INDEX((ISNUMBER(SEARCH($B100, FORECAST!$A$12:$A$475))) * (INT(FORECAST!$B$12:$B$475) &lt;= AC$93) * (INT(FORECAST!$C$12:$C$475) &gt;= AC$93), 0), 0)), "")</f>
        <v/>
      </c>
      <c r="AD100" s="34" t="str" cm="1">
        <f t="array" ref="AD100">IFERROR(INDEX(FORECAST!$D$12:$D$475, MATCH(1, INDEX((ISNUMBER(SEARCH($B100, FORECAST!$A$12:$A$475))) * (INT(FORECAST!$B$12:$B$475) &lt;= AD$93) * (INT(FORECAST!$C$12:$C$475) &gt;= AD$93), 0), 0)), "")</f>
        <v/>
      </c>
      <c r="AE100" s="34" t="str" cm="1">
        <f t="array" ref="AE100">IFERROR(INDEX(FORECAST!$D$12:$D$475, MATCH(1, INDEX((ISNUMBER(SEARCH($B100, FORECAST!$A$12:$A$475))) * (INT(FORECAST!$B$12:$B$475) &lt;= AE$93) * (INT(FORECAST!$C$12:$C$475) &gt;= AE$93), 0), 0)), "")</f>
        <v/>
      </c>
      <c r="AF100" s="34" t="str" cm="1">
        <f t="array" ref="AF100">IFERROR(INDEX(FORECAST!$D$12:$D$475, MATCH(1, INDEX((ISNUMBER(SEARCH($B100, FORECAST!$A$12:$A$475))) * (INT(FORECAST!$B$12:$B$475) &lt;= AF$93) * (INT(FORECAST!$C$12:$C$475) &gt;= AF$93), 0), 0)), "")</f>
        <v/>
      </c>
      <c r="AG100" s="34" t="str" cm="1">
        <f t="array" ref="AG100">IFERROR(INDEX(FORECAST!$D$12:$D$475, MATCH(1, INDEX((ISNUMBER(SEARCH($B100, FORECAST!$A$12:$A$475))) * (INT(FORECAST!$B$12:$B$475) &lt;= AG$93) * (INT(FORECAST!$C$12:$C$475) &gt;= AG$93), 0), 0)), "")</f>
        <v/>
      </c>
      <c r="AH100" s="9"/>
      <c r="AI100" s="2"/>
      <c r="AJ100" s="45">
        <f t="shared" si="7"/>
        <v>6.4516129032258063E-2</v>
      </c>
    </row>
    <row r="101" spans="1:38" x14ac:dyDescent="0.25">
      <c r="A101" s="69"/>
      <c r="B101" s="26" t="s">
        <v>80</v>
      </c>
      <c r="C101" s="34" t="str" cm="1">
        <f t="array" ref="C101">IFERROR(INDEX(FORECAST!$D$12:$D$475, MATCH(1, INDEX((ISNUMBER(SEARCH($B101, FORECAST!$A$12:$A$475))) * (INT(FORECAST!$B$12:$B$475) &lt;= C$93) * (INT(FORECAST!$C$12:$C$475) &gt;= C$93), 0), 0)), "")</f>
        <v/>
      </c>
      <c r="D101" s="34" t="str" cm="1">
        <f t="array" ref="D101">IFERROR(INDEX(FORECAST!$D$12:$D$475, MATCH(1, INDEX((ISNUMBER(SEARCH($B101, FORECAST!$A$12:$A$475))) * (INT(FORECAST!$B$12:$B$475) &lt;= D$93) * (INT(FORECAST!$C$12:$C$475) &gt;= D$93), 0), 0)), "")</f>
        <v/>
      </c>
      <c r="E101" s="34" t="str" cm="1">
        <f t="array" ref="E101">IFERROR(INDEX(FORECAST!$D$12:$D$475, MATCH(1, INDEX((ISNUMBER(SEARCH($B101, FORECAST!$A$12:$A$475))) * (INT(FORECAST!$B$12:$B$475) &lt;= E$93) * (INT(FORECAST!$C$12:$C$475) &gt;= E$93), 0), 0)), "")</f>
        <v/>
      </c>
      <c r="F101" s="34" t="str" cm="1">
        <f t="array" ref="F101">IFERROR(INDEX(FORECAST!$D$12:$D$475, MATCH(1, INDEX((ISNUMBER(SEARCH($B101, FORECAST!$A$12:$A$475))) * (INT(FORECAST!$B$12:$B$475) &lt;= F$93) * (INT(FORECAST!$C$12:$C$475) &gt;= F$93), 0), 0)), "")</f>
        <v/>
      </c>
      <c r="G101" s="34" t="str" cm="1">
        <f t="array" ref="G101">IFERROR(INDEX(FORECAST!$D$12:$D$475, MATCH(1, INDEX((ISNUMBER(SEARCH($B101, FORECAST!$A$12:$A$475))) * (INT(FORECAST!$B$12:$B$475) &lt;= G$93) * (INT(FORECAST!$C$12:$C$475) &gt;= G$93), 0), 0)), "")</f>
        <v/>
      </c>
      <c r="H101" s="34" t="str" cm="1">
        <f t="array" ref="H101">IFERROR(INDEX(FORECAST!$D$12:$D$475, MATCH(1, INDEX((ISNUMBER(SEARCH($B101, FORECAST!$A$12:$A$475))) * (INT(FORECAST!$B$12:$B$475) &lt;= H$93) * (INT(FORECAST!$C$12:$C$475) &gt;= H$93), 0), 0)), "")</f>
        <v/>
      </c>
      <c r="I101" s="34" t="str" cm="1">
        <f t="array" ref="I101">IFERROR(INDEX(FORECAST!$D$12:$D$475, MATCH(1, INDEX((ISNUMBER(SEARCH($B101, FORECAST!$A$12:$A$475))) * (INT(FORECAST!$B$12:$B$475) &lt;= I$93) * (INT(FORECAST!$C$12:$C$475) &gt;= I$93), 0), 0)), "")</f>
        <v/>
      </c>
      <c r="J101" s="34" t="str" cm="1">
        <f t="array" ref="J101">IFERROR(INDEX(FORECAST!$D$12:$D$475, MATCH(1, INDEX((ISNUMBER(SEARCH($B101, FORECAST!$A$12:$A$475))) * (INT(FORECAST!$B$12:$B$475) &lt;= J$93) * (INT(FORECAST!$C$12:$C$475) &gt;= J$93), 0), 0)), "")</f>
        <v/>
      </c>
      <c r="K101" s="34" t="str" cm="1">
        <f t="array" ref="K101">IFERROR(INDEX(FORECAST!$D$12:$D$475, MATCH(1, INDEX((ISNUMBER(SEARCH($B101, FORECAST!$A$12:$A$475))) * (INT(FORECAST!$B$12:$B$475) &lt;= K$93) * (INT(FORECAST!$C$12:$C$475) &gt;= K$93), 0), 0)), "")</f>
        <v/>
      </c>
      <c r="L101" s="34" t="str" cm="1">
        <f t="array" ref="L101">IFERROR(INDEX(FORECAST!$D$12:$D$475, MATCH(1, INDEX((ISNUMBER(SEARCH($B101, FORECAST!$A$12:$A$475))) * (INT(FORECAST!$B$12:$B$475) &lt;= L$93) * (INT(FORECAST!$C$12:$C$475) &gt;= L$93), 0), 0)), "")</f>
        <v/>
      </c>
      <c r="M101" s="34" t="str" cm="1">
        <f t="array" ref="M101">IFERROR(INDEX(FORECAST!$D$12:$D$475, MATCH(1, INDEX((ISNUMBER(SEARCH($B101, FORECAST!$A$12:$A$475))) * (INT(FORECAST!$B$12:$B$475) &lt;= M$93) * (INT(FORECAST!$C$12:$C$475) &gt;= M$93), 0), 0)), "")</f>
        <v/>
      </c>
      <c r="N101" s="34" t="str" cm="1">
        <f t="array" ref="N101">IFERROR(INDEX(FORECAST!$D$12:$D$475, MATCH(1, INDEX((ISNUMBER(SEARCH($B101, FORECAST!$A$12:$A$475))) * (INT(FORECAST!$B$12:$B$475) &lt;= N$93) * (INT(FORECAST!$C$12:$C$475) &gt;= N$93), 0), 0)), "")</f>
        <v/>
      </c>
      <c r="O101" s="34" t="str" cm="1">
        <f t="array" ref="O101">IFERROR(INDEX(FORECAST!$D$12:$D$475, MATCH(1, INDEX((ISNUMBER(SEARCH($B101, FORECAST!$A$12:$A$475))) * (INT(FORECAST!$B$12:$B$475) &lt;= O$93) * (INT(FORECAST!$C$12:$C$475) &gt;= O$93), 0), 0)), "")</f>
        <v/>
      </c>
      <c r="P101" s="34" t="str" cm="1">
        <f t="array" ref="P101">IFERROR(INDEX(FORECAST!$D$12:$D$475, MATCH(1, INDEX((ISNUMBER(SEARCH($B101, FORECAST!$A$12:$A$475))) * (INT(FORECAST!$B$12:$B$475) &lt;= P$93) * (INT(FORECAST!$C$12:$C$475) &gt;= P$93), 0), 0)), "")</f>
        <v/>
      </c>
      <c r="Q101" s="34" t="str" cm="1">
        <f t="array" ref="Q101">IFERROR(INDEX(FORECAST!$D$12:$D$475, MATCH(1, INDEX((ISNUMBER(SEARCH($B101, FORECAST!$A$12:$A$475))) * (INT(FORECAST!$B$12:$B$475) &lt;= Q$93) * (INT(FORECAST!$C$12:$C$475) &gt;= Q$93), 0), 0)), "")</f>
        <v/>
      </c>
      <c r="R101" s="34" t="str" cm="1">
        <f t="array" ref="R101">IFERROR(INDEX(FORECAST!$D$12:$D$475, MATCH(1, INDEX((ISNUMBER(SEARCH($B101, FORECAST!$A$12:$A$475))) * (INT(FORECAST!$B$12:$B$475) &lt;= R$93) * (INT(FORECAST!$C$12:$C$475) &gt;= R$93), 0), 0)), "")</f>
        <v/>
      </c>
      <c r="S101" s="34" t="str" cm="1">
        <f t="array" ref="S101">IFERROR(INDEX(FORECAST!$D$12:$D$475, MATCH(1, INDEX((ISNUMBER(SEARCH($B101, FORECAST!$A$12:$A$475))) * (INT(FORECAST!$B$12:$B$475) &lt;= S$93) * (INT(FORECAST!$C$12:$C$475) &gt;= S$93), 0), 0)), "")</f>
        <v/>
      </c>
      <c r="T101" s="34" t="str" cm="1">
        <f t="array" ref="T101">IFERROR(INDEX(FORECAST!$D$12:$D$475, MATCH(1, INDEX((ISNUMBER(SEARCH($B101, FORECAST!$A$12:$A$475))) * (INT(FORECAST!$B$12:$B$475) &lt;= T$93) * (INT(FORECAST!$C$12:$C$475) &gt;= T$93), 0), 0)), "")</f>
        <v/>
      </c>
      <c r="U101" s="34" t="str" cm="1">
        <f t="array" ref="U101">IFERROR(INDEX(FORECAST!$D$12:$D$475, MATCH(1, INDEX((ISNUMBER(SEARCH($B101, FORECAST!$A$12:$A$475))) * (INT(FORECAST!$B$12:$B$475) &lt;= U$93) * (INT(FORECAST!$C$12:$C$475) &gt;= U$93), 0), 0)), "")</f>
        <v>Garantizado</v>
      </c>
      <c r="V101" s="34" t="str" cm="1">
        <f t="array" ref="V101">IFERROR(INDEX(FORECAST!$D$12:$D$475, MATCH(1, INDEX((ISNUMBER(SEARCH($B101, FORECAST!$A$12:$A$475))) * (INT(FORECAST!$B$12:$B$475) &lt;= V$93) * (INT(FORECAST!$C$12:$C$475) &gt;= V$93), 0), 0)), "")</f>
        <v>Garantizado</v>
      </c>
      <c r="W101" s="34" t="str" cm="1">
        <f t="array" ref="W101">IFERROR(INDEX(FORECAST!$D$12:$D$475, MATCH(1, INDEX((ISNUMBER(SEARCH($B101, FORECAST!$A$12:$A$475))) * (INT(FORECAST!$B$12:$B$475) &lt;= W$93) * (INT(FORECAST!$C$12:$C$475) &gt;= W$93), 0), 0)), "")</f>
        <v>Garantizado</v>
      </c>
      <c r="X101" s="34" t="str" cm="1">
        <f t="array" ref="X101">IFERROR(INDEX(FORECAST!$D$12:$D$475, MATCH(1, INDEX((ISNUMBER(SEARCH($B101, FORECAST!$A$12:$A$475))) * (INT(FORECAST!$B$12:$B$475) &lt;= X$93) * (INT(FORECAST!$C$12:$C$475) &gt;= X$93), 0), 0)), "")</f>
        <v/>
      </c>
      <c r="Y101" s="34" t="str" cm="1">
        <f t="array" ref="Y101">IFERROR(INDEX(FORECAST!$D$12:$D$475, MATCH(1, INDEX((ISNUMBER(SEARCH($B101, FORECAST!$A$12:$A$475))) * (INT(FORECAST!$B$12:$B$475) &lt;= Y$93) * (INT(FORECAST!$C$12:$C$475) &gt;= Y$93), 0), 0)), "")</f>
        <v/>
      </c>
      <c r="Z101" s="34" t="str" cm="1">
        <f t="array" ref="Z101">IFERROR(INDEX(FORECAST!$D$12:$D$475, MATCH(1, INDEX((ISNUMBER(SEARCH($B101, FORECAST!$A$12:$A$475))) * (INT(FORECAST!$B$12:$B$475) &lt;= Z$93) * (INT(FORECAST!$C$12:$C$475) &gt;= Z$93), 0), 0)), "")</f>
        <v/>
      </c>
      <c r="AA101" s="34" t="str" cm="1">
        <f t="array" ref="AA101">IFERROR(INDEX(FORECAST!$D$12:$D$475, MATCH(1, INDEX((ISNUMBER(SEARCH($B101, FORECAST!$A$12:$A$475))) * (INT(FORECAST!$B$12:$B$475) &lt;= AA$93) * (INT(FORECAST!$C$12:$C$475) &gt;= AA$93), 0), 0)), "")</f>
        <v/>
      </c>
      <c r="AB101" s="34" t="str" cm="1">
        <f t="array" ref="AB101">IFERROR(INDEX(FORECAST!$D$12:$D$475, MATCH(1, INDEX((ISNUMBER(SEARCH($B101, FORECAST!$A$12:$A$475))) * (INT(FORECAST!$B$12:$B$475) &lt;= AB$93) * (INT(FORECAST!$C$12:$C$475) &gt;= AB$93), 0), 0)), "")</f>
        <v/>
      </c>
      <c r="AC101" s="34" t="str" cm="1">
        <f t="array" ref="AC101">IFERROR(INDEX(FORECAST!$D$12:$D$475, MATCH(1, INDEX((ISNUMBER(SEARCH($B101, FORECAST!$A$12:$A$475))) * (INT(FORECAST!$B$12:$B$475) &lt;= AC$93) * (INT(FORECAST!$C$12:$C$475) &gt;= AC$93), 0), 0)), "")</f>
        <v/>
      </c>
      <c r="AD101" s="34" t="str" cm="1">
        <f t="array" ref="AD101">IFERROR(INDEX(FORECAST!$D$12:$D$475, MATCH(1, INDEX((ISNUMBER(SEARCH($B101, FORECAST!$A$12:$A$475))) * (INT(FORECAST!$B$12:$B$475) &lt;= AD$93) * (INT(FORECAST!$C$12:$C$475) &gt;= AD$93), 0), 0)), "")</f>
        <v/>
      </c>
      <c r="AE101" s="34" t="str" cm="1">
        <f t="array" ref="AE101">IFERROR(INDEX(FORECAST!$D$12:$D$475, MATCH(1, INDEX((ISNUMBER(SEARCH($B101, FORECAST!$A$12:$A$475))) * (INT(FORECAST!$B$12:$B$475) &lt;= AE$93) * (INT(FORECAST!$C$12:$C$475) &gt;= AE$93), 0), 0)), "")</f>
        <v/>
      </c>
      <c r="AF101" s="34" t="str" cm="1">
        <f t="array" ref="AF101">IFERROR(INDEX(FORECAST!$D$12:$D$475, MATCH(1, INDEX((ISNUMBER(SEARCH($B101, FORECAST!$A$12:$A$475))) * (INT(FORECAST!$B$12:$B$475) &lt;= AF$93) * (INT(FORECAST!$C$12:$C$475) &gt;= AF$93), 0), 0)), "")</f>
        <v/>
      </c>
      <c r="AG101" s="34" t="str" cm="1">
        <f t="array" ref="AG101">IFERROR(INDEX(FORECAST!$D$12:$D$475, MATCH(1, INDEX((ISNUMBER(SEARCH($B101, FORECAST!$A$12:$A$475))) * (INT(FORECAST!$B$12:$B$475) &lt;= AG$93) * (INT(FORECAST!$C$12:$C$475) &gt;= AG$93), 0), 0)), "")</f>
        <v/>
      </c>
      <c r="AH101" s="9"/>
      <c r="AI101" s="2"/>
      <c r="AJ101" s="45">
        <f t="shared" si="7"/>
        <v>9.6774193548387094E-2</v>
      </c>
    </row>
    <row r="102" spans="1:38" x14ac:dyDescent="0.25">
      <c r="AF102" s="10"/>
      <c r="AG102" s="9"/>
      <c r="AH102" s="9"/>
      <c r="AI102" s="2"/>
    </row>
    <row r="103" spans="1:38" x14ac:dyDescent="0.25">
      <c r="C103" s="1" t="s">
        <v>507</v>
      </c>
      <c r="D103" s="1" t="s">
        <v>508</v>
      </c>
      <c r="E103" s="1" t="s">
        <v>502</v>
      </c>
      <c r="F103" s="1" t="s">
        <v>503</v>
      </c>
      <c r="G103" s="7" t="s">
        <v>504</v>
      </c>
      <c r="H103" s="7" t="s">
        <v>505</v>
      </c>
      <c r="I103" s="1" t="s">
        <v>506</v>
      </c>
      <c r="J103" s="1" t="s">
        <v>507</v>
      </c>
      <c r="K103" s="1" t="s">
        <v>508</v>
      </c>
      <c r="L103" s="1" t="s">
        <v>502</v>
      </c>
      <c r="M103" s="1" t="s">
        <v>503</v>
      </c>
      <c r="N103" s="7" t="s">
        <v>504</v>
      </c>
      <c r="O103" s="7" t="s">
        <v>505</v>
      </c>
      <c r="P103" s="1" t="s">
        <v>506</v>
      </c>
      <c r="Q103" s="1" t="s">
        <v>507</v>
      </c>
      <c r="R103" s="1" t="s">
        <v>508</v>
      </c>
      <c r="S103" s="1" t="s">
        <v>502</v>
      </c>
      <c r="T103" s="1" t="s">
        <v>503</v>
      </c>
      <c r="U103" s="7" t="s">
        <v>509</v>
      </c>
      <c r="V103" s="7" t="s">
        <v>510</v>
      </c>
      <c r="W103" s="1" t="s">
        <v>511</v>
      </c>
      <c r="X103" s="16" t="s">
        <v>512</v>
      </c>
      <c r="Y103" s="1" t="s">
        <v>513</v>
      </c>
      <c r="Z103" s="1" t="s">
        <v>514</v>
      </c>
      <c r="AA103" s="1" t="s">
        <v>515</v>
      </c>
      <c r="AB103" s="7" t="s">
        <v>509</v>
      </c>
      <c r="AC103" s="7" t="s">
        <v>510</v>
      </c>
      <c r="AD103" s="1" t="s">
        <v>511</v>
      </c>
      <c r="AE103" s="16" t="s">
        <v>512</v>
      </c>
      <c r="AF103" s="1" t="s">
        <v>513</v>
      </c>
      <c r="AG103" s="11"/>
      <c r="AH103" s="9"/>
      <c r="AI103" s="2"/>
    </row>
    <row r="104" spans="1:38" x14ac:dyDescent="0.25">
      <c r="C104" s="61">
        <v>46266</v>
      </c>
      <c r="D104" s="61">
        <v>46267</v>
      </c>
      <c r="E104" s="61">
        <v>46268</v>
      </c>
      <c r="F104" s="61">
        <v>46269</v>
      </c>
      <c r="G104" s="61">
        <v>46270</v>
      </c>
      <c r="H104" s="61">
        <v>46271</v>
      </c>
      <c r="I104" s="61">
        <v>46272</v>
      </c>
      <c r="J104" s="61">
        <v>46273</v>
      </c>
      <c r="K104" s="61">
        <v>46274</v>
      </c>
      <c r="L104" s="61">
        <v>46275</v>
      </c>
      <c r="M104" s="61">
        <v>46276</v>
      </c>
      <c r="N104" s="61">
        <v>46277</v>
      </c>
      <c r="O104" s="61">
        <v>46278</v>
      </c>
      <c r="P104" s="61">
        <v>46279</v>
      </c>
      <c r="Q104" s="61">
        <v>46280</v>
      </c>
      <c r="R104" s="61">
        <v>46281</v>
      </c>
      <c r="S104" s="61">
        <v>46282</v>
      </c>
      <c r="T104" s="61">
        <v>46283</v>
      </c>
      <c r="U104" s="61">
        <v>46284</v>
      </c>
      <c r="V104" s="61">
        <v>46285</v>
      </c>
      <c r="W104" s="61">
        <v>46286</v>
      </c>
      <c r="X104" s="61">
        <v>46287</v>
      </c>
      <c r="Y104" s="61">
        <v>46288</v>
      </c>
      <c r="Z104" s="61">
        <v>46289</v>
      </c>
      <c r="AA104" s="61">
        <v>46290</v>
      </c>
      <c r="AB104" s="61">
        <v>46291</v>
      </c>
      <c r="AC104" s="61">
        <v>46292</v>
      </c>
      <c r="AD104" s="61">
        <v>46293</v>
      </c>
      <c r="AE104" s="61">
        <v>46294</v>
      </c>
      <c r="AF104" s="61">
        <v>46295</v>
      </c>
      <c r="AG104" s="20"/>
      <c r="AH104" s="2"/>
      <c r="AI104" s="16"/>
      <c r="AJ104" s="22" t="s">
        <v>516</v>
      </c>
    </row>
    <row r="105" spans="1:38" ht="15" customHeight="1" x14ac:dyDescent="0.25">
      <c r="A105" s="73" t="s">
        <v>532</v>
      </c>
      <c r="B105" s="25" t="s">
        <v>518</v>
      </c>
      <c r="C105" s="36" t="str" cm="1">
        <f t="array" ref="C105">IFERROR(INDEX(FORECAST!$D$12:$D$475, MATCH(1, INDEX((ISNUMBER(SEARCH($B105, FORECAST!$A$12:$A$475))) * (INT(FORECAST!$B$12:$B$475) &lt;= C$104) * (INT(FORECAST!$C$12:$C$475) &gt;= C$104), 0), 0)), "")</f>
        <v>Garantizado</v>
      </c>
      <c r="D105" s="36" t="str" cm="1">
        <f t="array" ref="D105">IFERROR(INDEX(FORECAST!$D$12:$D$475, MATCH(1, INDEX((ISNUMBER(SEARCH($B105, FORECAST!$A$12:$A$475))) * (INT(FORECAST!$B$12:$B$475) &lt;= D$104) * (INT(FORECAST!$C$12:$C$475) &gt;= D$104), 0), 0)), "")</f>
        <v>Garantizado</v>
      </c>
      <c r="E105" s="36" t="str" cm="1">
        <f t="array" ref="E105">IFERROR(INDEX(FORECAST!$D$12:$D$475, MATCH(1, INDEX((ISNUMBER(SEARCH($B105, FORECAST!$A$12:$A$475))) * (INT(FORECAST!$B$12:$B$475) &lt;= E$104) * (INT(FORECAST!$C$12:$C$475) &gt;= E$104), 0), 0)), "")</f>
        <v>Garantizado</v>
      </c>
      <c r="F105" s="36" t="str" cm="1">
        <f t="array" ref="F105">IFERROR(INDEX(FORECAST!$D$12:$D$475, MATCH(1, INDEX((ISNUMBER(SEARCH($B105, FORECAST!$A$12:$A$475))) * (INT(FORECAST!$B$12:$B$475) &lt;= F$104) * (INT(FORECAST!$C$12:$C$475) &gt;= F$104), 0), 0)), "")</f>
        <v>Garantizado</v>
      </c>
      <c r="G105" s="36" t="str" cm="1">
        <f t="array" ref="G105">IFERROR(INDEX(FORECAST!$D$12:$D$475, MATCH(1, INDEX((ISNUMBER(SEARCH($B105, FORECAST!$A$12:$A$475))) * (INT(FORECAST!$B$12:$B$475) &lt;= G$104) * (INT(FORECAST!$C$12:$C$475) &gt;= G$104), 0), 0)), "")</f>
        <v>Garantizado</v>
      </c>
      <c r="H105" s="36" t="str" cm="1">
        <f t="array" ref="H105">IFERROR(INDEX(FORECAST!$D$12:$D$475, MATCH(1, INDEX((ISNUMBER(SEARCH($B105, FORECAST!$A$12:$A$475))) * (INT(FORECAST!$B$12:$B$475) &lt;= H$104) * (INT(FORECAST!$C$12:$C$475) &gt;= H$104), 0), 0)), "")</f>
        <v>Garantizado</v>
      </c>
      <c r="I105" s="36" t="str" cm="1">
        <f t="array" ref="I105">IFERROR(INDEX(FORECAST!$D$12:$D$475, MATCH(1, INDEX((ISNUMBER(SEARCH($B105, FORECAST!$A$12:$A$475))) * (INT(FORECAST!$B$12:$B$475) &lt;= I$104) * (INT(FORECAST!$C$12:$C$475) &gt;= I$104), 0), 0)), "")</f>
        <v>Presupuesto</v>
      </c>
      <c r="J105" s="36" t="str" cm="1">
        <f t="array" ref="J105">IFERROR(INDEX(FORECAST!$D$12:$D$475, MATCH(1, INDEX((ISNUMBER(SEARCH($B105, FORECAST!$A$12:$A$475))) * (INT(FORECAST!$B$12:$B$475) &lt;= J$104) * (INT(FORECAST!$C$12:$C$475) &gt;= J$104), 0), 0)), "")</f>
        <v>Presupuesto</v>
      </c>
      <c r="K105" s="36" t="str" cm="1">
        <f t="array" ref="K105">IFERROR(INDEX(FORECAST!$D$12:$D$475, MATCH(1, INDEX((ISNUMBER(SEARCH($B105, FORECAST!$A$12:$A$475))) * (INT(FORECAST!$B$12:$B$475) &lt;= K$104) * (INT(FORECAST!$C$12:$C$475) &gt;= K$104), 0), 0)), "")</f>
        <v>Presupuesto</v>
      </c>
      <c r="L105" s="36" t="str" cm="1">
        <f t="array" ref="L105">IFERROR(INDEX(FORECAST!$D$12:$D$475, MATCH(1, INDEX((ISNUMBER(SEARCH($B105, FORECAST!$A$12:$A$475))) * (INT(FORECAST!$B$12:$B$475) &lt;= L$104) * (INT(FORECAST!$C$12:$C$475) &gt;= L$104), 0), 0)), "")</f>
        <v>Presupuesto</v>
      </c>
      <c r="M105" s="36" t="str" cm="1">
        <f t="array" ref="M105">IFERROR(INDEX(FORECAST!$D$12:$D$475, MATCH(1, INDEX((ISNUMBER(SEARCH($B105, FORECAST!$A$12:$A$475))) * (INT(FORECAST!$B$12:$B$475) &lt;= M$104) * (INT(FORECAST!$C$12:$C$475) &gt;= M$104), 0), 0)), "")</f>
        <v/>
      </c>
      <c r="N105" s="36" t="str" cm="1">
        <f t="array" ref="N105">IFERROR(INDEX(FORECAST!$D$12:$D$475, MATCH(1, INDEX((ISNUMBER(SEARCH($B105, FORECAST!$A$12:$A$475))) * (INT(FORECAST!$B$12:$B$475) &lt;= N$104) * (INT(FORECAST!$C$12:$C$475) &gt;= N$104), 0), 0)), "")</f>
        <v/>
      </c>
      <c r="O105" s="36" t="str" cm="1">
        <f t="array" ref="O105">IFERROR(INDEX(FORECAST!$D$12:$D$475, MATCH(1, INDEX((ISNUMBER(SEARCH($B105, FORECAST!$A$12:$A$475))) * (INT(FORECAST!$B$12:$B$475) &lt;= O$104) * (INT(FORECAST!$C$12:$C$475) &gt;= O$104), 0), 0)), "")</f>
        <v/>
      </c>
      <c r="P105" s="36" t="str" cm="1">
        <f t="array" ref="P105">IFERROR(INDEX(FORECAST!$D$12:$D$475, MATCH(1, INDEX((ISNUMBER(SEARCH($B105, FORECAST!$A$12:$A$475))) * (INT(FORECAST!$B$12:$B$475) &lt;= P$104) * (INT(FORECAST!$C$12:$C$475) &gt;= P$104), 0), 0)), "")</f>
        <v>Garantizado</v>
      </c>
      <c r="Q105" s="36" t="str" cm="1">
        <f t="array" ref="Q105">IFERROR(INDEX(FORECAST!$D$12:$D$475, MATCH(1, INDEX((ISNUMBER(SEARCH($B105, FORECAST!$A$12:$A$475))) * (INT(FORECAST!$B$12:$B$475) &lt;= Q$104) * (INT(FORECAST!$C$12:$C$475) &gt;= Q$104), 0), 0)), "")</f>
        <v>Garantizado</v>
      </c>
      <c r="R105" s="36" t="str" cm="1">
        <f t="array" ref="R105">IFERROR(INDEX(FORECAST!$D$12:$D$475, MATCH(1, INDEX((ISNUMBER(SEARCH($B105, FORECAST!$A$12:$A$475))) * (INT(FORECAST!$B$12:$B$475) &lt;= R$104) * (INT(FORECAST!$C$12:$C$475) &gt;= R$104), 0), 0)), "")</f>
        <v>Garantizado</v>
      </c>
      <c r="S105" s="36" t="str" cm="1">
        <f t="array" ref="S105">IFERROR(INDEX(FORECAST!$D$12:$D$475, MATCH(1, INDEX((ISNUMBER(SEARCH($B105, FORECAST!$A$12:$A$475))) * (INT(FORECAST!$B$12:$B$475) &lt;= S$104) * (INT(FORECAST!$C$12:$C$475) &gt;= S$104), 0), 0)), "")</f>
        <v>Garantizado</v>
      </c>
      <c r="T105" s="36" t="str" cm="1">
        <f t="array" ref="T105">IFERROR(INDEX(FORECAST!$D$12:$D$475, MATCH(1, INDEX((ISNUMBER(SEARCH($B105, FORECAST!$A$12:$A$475))) * (INT(FORECAST!$B$12:$B$475) &lt;= T$104) * (INT(FORECAST!$C$12:$C$475) &gt;= T$104), 0), 0)), "")</f>
        <v>Garantizado</v>
      </c>
      <c r="U105" s="36" t="str" cm="1">
        <f t="array" ref="U105">IFERROR(INDEX(FORECAST!$D$12:$D$475, MATCH(1, INDEX((ISNUMBER(SEARCH($B105, FORECAST!$A$12:$A$475))) * (INT(FORECAST!$B$12:$B$475) &lt;= U$104) * (INT(FORECAST!$C$12:$C$475) &gt;= U$104), 0), 0)), "")</f>
        <v>Garantizado</v>
      </c>
      <c r="V105" s="36" t="str" cm="1">
        <f t="array" ref="V105">IFERROR(INDEX(FORECAST!$D$12:$D$475, MATCH(1, INDEX((ISNUMBER(SEARCH($B105, FORECAST!$A$12:$A$475))) * (INT(FORECAST!$B$12:$B$475) &lt;= V$104) * (INT(FORECAST!$C$12:$C$475) &gt;= V$104), 0), 0)), "")</f>
        <v>Garantizado</v>
      </c>
      <c r="W105" s="36" t="str" cm="1">
        <f t="array" ref="W105">IFERROR(INDEX(FORECAST!$D$12:$D$475, MATCH(1, INDEX((ISNUMBER(SEARCH($B105, FORECAST!$A$12:$A$475))) * (INT(FORECAST!$B$12:$B$475) &lt;= W$104) * (INT(FORECAST!$C$12:$C$475) &gt;= W$104), 0), 0)), "")</f>
        <v>Garantizado</v>
      </c>
      <c r="X105" s="36" t="str" cm="1">
        <f t="array" ref="X105">IFERROR(INDEX(FORECAST!$D$12:$D$475, MATCH(1, INDEX((ISNUMBER(SEARCH($B105, FORECAST!$A$12:$A$475))) * (INT(FORECAST!$B$12:$B$475) &lt;= X$104) * (INT(FORECAST!$C$12:$C$475) &gt;= X$104), 0), 0)), "")</f>
        <v>Garantizado</v>
      </c>
      <c r="Y105" s="36" t="str" cm="1">
        <f t="array" ref="Y105">IFERROR(INDEX(FORECAST!$D$12:$D$475, MATCH(1, INDEX((ISNUMBER(SEARCH($B105, FORECAST!$A$12:$A$475))) * (INT(FORECAST!$B$12:$B$475) &lt;= Y$104) * (INT(FORECAST!$C$12:$C$475) &gt;= Y$104), 0), 0)), "")</f>
        <v>Garantizado</v>
      </c>
      <c r="Z105" s="36" t="str" cm="1">
        <f t="array" ref="Z105">IFERROR(INDEX(FORECAST!$D$12:$D$475, MATCH(1, INDEX((ISNUMBER(SEARCH($B105, FORECAST!$A$12:$A$475))) * (INT(FORECAST!$B$12:$B$475) &lt;= Z$104) * (INT(FORECAST!$C$12:$C$475) &gt;= Z$104), 0), 0)), "")</f>
        <v>Garantizado</v>
      </c>
      <c r="AA105" s="36" t="str" cm="1">
        <f t="array" ref="AA105">IFERROR(INDEX(FORECAST!$D$12:$D$475, MATCH(1, INDEX((ISNUMBER(SEARCH($B105, FORECAST!$A$12:$A$475))) * (INT(FORECAST!$B$12:$B$475) &lt;= AA$104) * (INT(FORECAST!$C$12:$C$475) &gt;= AA$104), 0), 0)), "")</f>
        <v>Garantizado</v>
      </c>
      <c r="AB105" s="36" t="str" cm="1">
        <f t="array" ref="AB105">IFERROR(INDEX(FORECAST!$D$12:$D$475, MATCH(1, INDEX((ISNUMBER(SEARCH($B105, FORECAST!$A$12:$A$475))) * (INT(FORECAST!$B$12:$B$475) &lt;= AB$104) * (INT(FORECAST!$C$12:$C$475) &gt;= AB$104), 0), 0)), "")</f>
        <v>Garantizado</v>
      </c>
      <c r="AC105" s="36" t="str" cm="1">
        <f t="array" ref="AC105">IFERROR(INDEX(FORECAST!$D$12:$D$475, MATCH(1, INDEX((ISNUMBER(SEARCH($B105, FORECAST!$A$12:$A$475))) * (INT(FORECAST!$B$12:$B$475) &lt;= AC$104) * (INT(FORECAST!$C$12:$C$475) &gt;= AC$104), 0), 0)), "")</f>
        <v>Presupuesto</v>
      </c>
      <c r="AD105" s="36" t="str" cm="1">
        <f t="array" ref="AD105">IFERROR(INDEX(FORECAST!$D$12:$D$475, MATCH(1, INDEX((ISNUMBER(SEARCH($B105, FORECAST!$A$12:$A$475))) * (INT(FORECAST!$B$12:$B$475) &lt;= AD$104) * (INT(FORECAST!$C$12:$C$475) &gt;= AD$104), 0), 0)), "")</f>
        <v>Presupuesto</v>
      </c>
      <c r="AE105" s="36" t="str" cm="1">
        <f t="array" ref="AE105">IFERROR(INDEX(FORECAST!$D$12:$D$475, MATCH(1, INDEX((ISNUMBER(SEARCH($B105, FORECAST!$A$12:$A$475))) * (INT(FORECAST!$B$12:$B$475) &lt;= AE$104) * (INT(FORECAST!$C$12:$C$475) &gt;= AE$104), 0), 0)), "")</f>
        <v>Presupuesto</v>
      </c>
      <c r="AF105" s="36" t="str" cm="1">
        <f t="array" ref="AF105">IFERROR(INDEX(FORECAST!$D$12:$D$475, MATCH(1, INDEX((ISNUMBER(SEARCH($B105, FORECAST!$A$12:$A$475))) * (INT(FORECAST!$B$12:$B$475) &lt;= AF$104) * (INT(FORECAST!$C$12:$C$475) &gt;= AF$104), 0), 0)), "")</f>
        <v>Presupuesto</v>
      </c>
      <c r="AG105" s="10" t="str" cm="1">
        <f t="array" ref="AG105">IFERROR(INDEX(FORECAST!$E$12:$E$475, MATCH(1, INDEX((ISNUMBER(SEARCH($B105, FORECAST!$A$12:$A$475))) * (INT(FORECAST!$B$12:$B$475) &lt;= AG$34) * (INT(FORECAST!$C$12:$C$475) &gt;= AG$34), 0), 0)), "")</f>
        <v/>
      </c>
      <c r="AH105" s="2"/>
      <c r="AI105" s="2"/>
      <c r="AJ105" s="45">
        <f>COUNTIF(C105:AF105,"Garantizado")/30</f>
        <v>0.6333333333333333</v>
      </c>
    </row>
    <row r="106" spans="1:38" x14ac:dyDescent="0.25">
      <c r="A106" s="69"/>
      <c r="B106" s="25" t="s">
        <v>519</v>
      </c>
      <c r="C106" s="36" t="str" cm="1">
        <f t="array" ref="C106">IFERROR(INDEX(FORECAST!$D$12:$D$475, MATCH(1, INDEX((ISNUMBER(SEARCH($B106, FORECAST!$A$12:$A$475))) * (INT(FORECAST!$B$12:$B$475) &lt;= C$104) * (INT(FORECAST!$C$12:$C$475) &gt;= C$104), 0), 0)), "")</f>
        <v>Garantizado</v>
      </c>
      <c r="D106" s="36" t="str" cm="1">
        <f t="array" ref="D106">IFERROR(INDEX(FORECAST!$D$12:$D$475, MATCH(1, INDEX((ISNUMBER(SEARCH($B106, FORECAST!$A$12:$A$475))) * (INT(FORECAST!$B$12:$B$475) &lt;= D$104) * (INT(FORECAST!$C$12:$C$475) &gt;= D$104), 0), 0)), "")</f>
        <v>Garantizado</v>
      </c>
      <c r="E106" s="36" t="str" cm="1">
        <f t="array" ref="E106">IFERROR(INDEX(FORECAST!$D$12:$D$475, MATCH(1, INDEX((ISNUMBER(SEARCH($B106, FORECAST!$A$12:$A$475))) * (INT(FORECAST!$B$12:$B$475) &lt;= E$104) * (INT(FORECAST!$C$12:$C$475) &gt;= E$104), 0), 0)), "")</f>
        <v>Garantizado</v>
      </c>
      <c r="F106" s="36" t="str" cm="1">
        <f t="array" ref="F106">IFERROR(INDEX(FORECAST!$D$12:$D$475, MATCH(1, INDEX((ISNUMBER(SEARCH($B106, FORECAST!$A$12:$A$475))) * (INT(FORECAST!$B$12:$B$475) &lt;= F$104) * (INT(FORECAST!$C$12:$C$475) &gt;= F$104), 0), 0)), "")</f>
        <v>Garantizado</v>
      </c>
      <c r="G106" s="36" t="str" cm="1">
        <f t="array" ref="G106">IFERROR(INDEX(FORECAST!$D$12:$D$475, MATCH(1, INDEX((ISNUMBER(SEARCH($B106, FORECAST!$A$12:$A$475))) * (INT(FORECAST!$B$12:$B$475) &lt;= G$104) * (INT(FORECAST!$C$12:$C$475) &gt;= G$104), 0), 0)), "")</f>
        <v>Garantizado</v>
      </c>
      <c r="H106" s="36" t="str" cm="1">
        <f t="array" ref="H106">IFERROR(INDEX(FORECAST!$D$12:$D$475, MATCH(1, INDEX((ISNUMBER(SEARCH($B106, FORECAST!$A$12:$A$475))) * (INT(FORECAST!$B$12:$B$475) &lt;= H$104) * (INT(FORECAST!$C$12:$C$475) &gt;= H$104), 0), 0)), "")</f>
        <v>Garantizado</v>
      </c>
      <c r="I106" s="36" t="str" cm="1">
        <f t="array" ref="I106">IFERROR(INDEX(FORECAST!$D$12:$D$475, MATCH(1, INDEX((ISNUMBER(SEARCH($B106, FORECAST!$A$12:$A$475))) * (INT(FORECAST!$B$12:$B$475) &lt;= I$104) * (INT(FORECAST!$C$12:$C$475) &gt;= I$104), 0), 0)), "")</f>
        <v/>
      </c>
      <c r="J106" s="36" t="str" cm="1">
        <f t="array" ref="J106">IFERROR(INDEX(FORECAST!$D$12:$D$475, MATCH(1, INDEX((ISNUMBER(SEARCH($B106, FORECAST!$A$12:$A$475))) * (INT(FORECAST!$B$12:$B$475) &lt;= J$104) * (INT(FORECAST!$C$12:$C$475) &gt;= J$104), 0), 0)), "")</f>
        <v/>
      </c>
      <c r="K106" s="36" t="str" cm="1">
        <f t="array" ref="K106">IFERROR(INDEX(FORECAST!$D$12:$D$475, MATCH(1, INDEX((ISNUMBER(SEARCH($B106, FORECAST!$A$12:$A$475))) * (INT(FORECAST!$B$12:$B$475) &lt;= K$104) * (INT(FORECAST!$C$12:$C$475) &gt;= K$104), 0), 0)), "")</f>
        <v/>
      </c>
      <c r="L106" s="36" t="str" cm="1">
        <f t="array" ref="L106">IFERROR(INDEX(FORECAST!$D$12:$D$475, MATCH(1, INDEX((ISNUMBER(SEARCH($B106, FORECAST!$A$12:$A$475))) * (INT(FORECAST!$B$12:$B$475) &lt;= L$104) * (INT(FORECAST!$C$12:$C$475) &gt;= L$104), 0), 0)), "")</f>
        <v/>
      </c>
      <c r="M106" s="36" t="str" cm="1">
        <f t="array" ref="M106">IFERROR(INDEX(FORECAST!$D$12:$D$475, MATCH(1, INDEX((ISNUMBER(SEARCH($B106, FORECAST!$A$12:$A$475))) * (INT(FORECAST!$B$12:$B$475) &lt;= M$104) * (INT(FORECAST!$C$12:$C$475) &gt;= M$104), 0), 0)), "")</f>
        <v/>
      </c>
      <c r="N106" s="36" t="str" cm="1">
        <f t="array" ref="N106">IFERROR(INDEX(FORECAST!$D$12:$D$475, MATCH(1, INDEX((ISNUMBER(SEARCH($B106, FORECAST!$A$12:$A$475))) * (INT(FORECAST!$B$12:$B$475) &lt;= N$104) * (INT(FORECAST!$C$12:$C$475) &gt;= N$104), 0), 0)), "")</f>
        <v/>
      </c>
      <c r="O106" s="36" t="str" cm="1">
        <f t="array" ref="O106">IFERROR(INDEX(FORECAST!$D$12:$D$475, MATCH(1, INDEX((ISNUMBER(SEARCH($B106, FORECAST!$A$12:$A$475))) * (INT(FORECAST!$B$12:$B$475) &lt;= O$104) * (INT(FORECAST!$C$12:$C$475) &gt;= O$104), 0), 0)), "")</f>
        <v/>
      </c>
      <c r="P106" s="36" t="str" cm="1">
        <f t="array" ref="P106">IFERROR(INDEX(FORECAST!$D$12:$D$475, MATCH(1, INDEX((ISNUMBER(SEARCH($B106, FORECAST!$A$12:$A$475))) * (INT(FORECAST!$B$12:$B$475) &lt;= P$104) * (INT(FORECAST!$C$12:$C$475) &gt;= P$104), 0), 0)), "")</f>
        <v>Garantizado</v>
      </c>
      <c r="Q106" s="36" t="str" cm="1">
        <f t="array" ref="Q106">IFERROR(INDEX(FORECAST!$D$12:$D$475, MATCH(1, INDEX((ISNUMBER(SEARCH($B106, FORECAST!$A$12:$A$475))) * (INT(FORECAST!$B$12:$B$475) &lt;= Q$104) * (INT(FORECAST!$C$12:$C$475) &gt;= Q$104), 0), 0)), "")</f>
        <v>Garantizado</v>
      </c>
      <c r="R106" s="36" t="str" cm="1">
        <f t="array" ref="R106">IFERROR(INDEX(FORECAST!$D$12:$D$475, MATCH(1, INDEX((ISNUMBER(SEARCH($B106, FORECAST!$A$12:$A$475))) * (INT(FORECAST!$B$12:$B$475) &lt;= R$104) * (INT(FORECAST!$C$12:$C$475) &gt;= R$104), 0), 0)), "")</f>
        <v>Garantizado</v>
      </c>
      <c r="S106" s="36" t="str" cm="1">
        <f t="array" ref="S106">IFERROR(INDEX(FORECAST!$D$12:$D$475, MATCH(1, INDEX((ISNUMBER(SEARCH($B106, FORECAST!$A$12:$A$475))) * (INT(FORECAST!$B$12:$B$475) &lt;= S$104) * (INT(FORECAST!$C$12:$C$475) &gt;= S$104), 0), 0)), "")</f>
        <v>Garantizado</v>
      </c>
      <c r="T106" s="36" t="str" cm="1">
        <f t="array" ref="T106">IFERROR(INDEX(FORECAST!$D$12:$D$475, MATCH(1, INDEX((ISNUMBER(SEARCH($B106, FORECAST!$A$12:$A$475))) * (INT(FORECAST!$B$12:$B$475) &lt;= T$104) * (INT(FORECAST!$C$12:$C$475) &gt;= T$104), 0), 0)), "")</f>
        <v>Garantizado</v>
      </c>
      <c r="U106" s="36" t="str" cm="1">
        <f t="array" ref="U106">IFERROR(INDEX(FORECAST!$D$12:$D$475, MATCH(1, INDEX((ISNUMBER(SEARCH($B106, FORECAST!$A$12:$A$475))) * (INT(FORECAST!$B$12:$B$475) &lt;= U$104) * (INT(FORECAST!$C$12:$C$475) &gt;= U$104), 0), 0)), "")</f>
        <v>Garantizado</v>
      </c>
      <c r="V106" s="36" t="str" cm="1">
        <f t="array" ref="V106">IFERROR(INDEX(FORECAST!$D$12:$D$475, MATCH(1, INDEX((ISNUMBER(SEARCH($B106, FORECAST!$A$12:$A$475))) * (INT(FORECAST!$B$12:$B$475) &lt;= V$104) * (INT(FORECAST!$C$12:$C$475) &gt;= V$104), 0), 0)), "")</f>
        <v>Garantizado</v>
      </c>
      <c r="W106" s="36" t="str" cm="1">
        <f t="array" ref="W106">IFERROR(INDEX(FORECAST!$D$12:$D$475, MATCH(1, INDEX((ISNUMBER(SEARCH($B106, FORECAST!$A$12:$A$475))) * (INT(FORECAST!$B$12:$B$475) &lt;= W$104) * (INT(FORECAST!$C$12:$C$475) &gt;= W$104), 0), 0)), "")</f>
        <v>Garantizado</v>
      </c>
      <c r="X106" s="36" t="str" cm="1">
        <f t="array" ref="X106">IFERROR(INDEX(FORECAST!$D$12:$D$475, MATCH(1, INDEX((ISNUMBER(SEARCH($B106, FORECAST!$A$12:$A$475))) * (INT(FORECAST!$B$12:$B$475) &lt;= X$104) * (INT(FORECAST!$C$12:$C$475) &gt;= X$104), 0), 0)), "")</f>
        <v>Garantizado</v>
      </c>
      <c r="Y106" s="36" t="str" cm="1">
        <f t="array" ref="Y106">IFERROR(INDEX(FORECAST!$D$12:$D$475, MATCH(1, INDEX((ISNUMBER(SEARCH($B106, FORECAST!$A$12:$A$475))) * (INT(FORECAST!$B$12:$B$475) &lt;= Y$104) * (INT(FORECAST!$C$12:$C$475) &gt;= Y$104), 0), 0)), "")</f>
        <v>Garantizado</v>
      </c>
      <c r="Z106" s="36" t="str" cm="1">
        <f t="array" ref="Z106">IFERROR(INDEX(FORECAST!$D$12:$D$475, MATCH(1, INDEX((ISNUMBER(SEARCH($B106, FORECAST!$A$12:$A$475))) * (INT(FORECAST!$B$12:$B$475) &lt;= Z$104) * (INT(FORECAST!$C$12:$C$475) &gt;= Z$104), 0), 0)), "")</f>
        <v>Garantizado</v>
      </c>
      <c r="AA106" s="36" t="str" cm="1">
        <f t="array" ref="AA106">IFERROR(INDEX(FORECAST!$D$12:$D$475, MATCH(1, INDEX((ISNUMBER(SEARCH($B106, FORECAST!$A$12:$A$475))) * (INT(FORECAST!$B$12:$B$475) &lt;= AA$104) * (INT(FORECAST!$C$12:$C$475) &gt;= AA$104), 0), 0)), "")</f>
        <v>Garantizado</v>
      </c>
      <c r="AB106" s="36" t="str" cm="1">
        <f t="array" ref="AB106">IFERROR(INDEX(FORECAST!$D$12:$D$475, MATCH(1, INDEX((ISNUMBER(SEARCH($B106, FORECAST!$A$12:$A$475))) * (INT(FORECAST!$B$12:$B$475) &lt;= AB$104) * (INT(FORECAST!$C$12:$C$475) &gt;= AB$104), 0), 0)), "")</f>
        <v>Garantizado</v>
      </c>
      <c r="AC106" s="36" t="str" cm="1">
        <f t="array" ref="AC106">IFERROR(INDEX(FORECAST!$D$12:$D$475, MATCH(1, INDEX((ISNUMBER(SEARCH($B106, FORECAST!$A$12:$A$475))) * (INT(FORECAST!$B$12:$B$475) &lt;= AC$104) * (INT(FORECAST!$C$12:$C$475) &gt;= AC$104), 0), 0)), "")</f>
        <v>Presupuesto</v>
      </c>
      <c r="AD106" s="36" t="str" cm="1">
        <f t="array" ref="AD106">IFERROR(INDEX(FORECAST!$D$12:$D$475, MATCH(1, INDEX((ISNUMBER(SEARCH($B106, FORECAST!$A$12:$A$475))) * (INT(FORECAST!$B$12:$B$475) &lt;= AD$104) * (INT(FORECAST!$C$12:$C$475) &gt;= AD$104), 0), 0)), "")</f>
        <v>Presupuesto</v>
      </c>
      <c r="AE106" s="36" t="str" cm="1">
        <f t="array" ref="AE106">IFERROR(INDEX(FORECAST!$D$12:$D$475, MATCH(1, INDEX((ISNUMBER(SEARCH($B106, FORECAST!$A$12:$A$475))) * (INT(FORECAST!$B$12:$B$475) &lt;= AE$104) * (INT(FORECAST!$C$12:$C$475) &gt;= AE$104), 0), 0)), "")</f>
        <v>Presupuesto</v>
      </c>
      <c r="AF106" s="36" t="str" cm="1">
        <f t="array" ref="AF106">IFERROR(INDEX(FORECAST!$D$12:$D$475, MATCH(1, INDEX((ISNUMBER(SEARCH($B106, FORECAST!$A$12:$A$475))) * (INT(FORECAST!$B$12:$B$475) &lt;= AF$104) * (INT(FORECAST!$C$12:$C$475) &gt;= AF$104), 0), 0)), "")</f>
        <v>Presupuesto</v>
      </c>
      <c r="AG106" s="10"/>
      <c r="AH106" s="2"/>
      <c r="AI106" s="2"/>
      <c r="AJ106" s="45">
        <f t="shared" ref="AJ106:AJ112" si="8">COUNTIF(C106:AF106,"Garantizado")/30</f>
        <v>0.6333333333333333</v>
      </c>
    </row>
    <row r="107" spans="1:38" x14ac:dyDescent="0.25">
      <c r="A107" s="69"/>
      <c r="B107" s="25" t="s">
        <v>279</v>
      </c>
      <c r="C107" s="36" t="str" cm="1">
        <f t="array" ref="C107">IFERROR(INDEX(FORECAST!$D$12:$D$475, MATCH(1, INDEX((ISNUMBER(SEARCH($B107, FORECAST!$A$12:$A$475))) * (INT(FORECAST!$B$12:$B$475) &lt;= C$104) * (INT(FORECAST!$C$12:$C$475) &gt;= C$104), 0), 0)), "")</f>
        <v>Garantizado</v>
      </c>
      <c r="D107" s="36" t="str" cm="1">
        <f t="array" ref="D107">IFERROR(INDEX(FORECAST!$D$12:$D$475, MATCH(1, INDEX((ISNUMBER(SEARCH($B107, FORECAST!$A$12:$A$475))) * (INT(FORECAST!$B$12:$B$475) &lt;= D$104) * (INT(FORECAST!$C$12:$C$475) &gt;= D$104), 0), 0)), "")</f>
        <v>Garantizado</v>
      </c>
      <c r="E107" s="36" t="str" cm="1">
        <f t="array" ref="E107">IFERROR(INDEX(FORECAST!$D$12:$D$475, MATCH(1, INDEX((ISNUMBER(SEARCH($B107, FORECAST!$A$12:$A$475))) * (INT(FORECAST!$B$12:$B$475) &lt;= E$104) * (INT(FORECAST!$C$12:$C$475) &gt;= E$104), 0), 0)), "")</f>
        <v>Garantizado</v>
      </c>
      <c r="F107" s="36" t="str" cm="1">
        <f t="array" ref="F107">IFERROR(INDEX(FORECAST!$D$12:$D$475, MATCH(1, INDEX((ISNUMBER(SEARCH($B107, FORECAST!$A$12:$A$475))) * (INT(FORECAST!$B$12:$B$475) &lt;= F$104) * (INT(FORECAST!$C$12:$C$475) &gt;= F$104), 0), 0)), "")</f>
        <v/>
      </c>
      <c r="G107" s="36" t="str" cm="1">
        <f t="array" ref="G107">IFERROR(INDEX(FORECAST!$D$12:$D$475, MATCH(1, INDEX((ISNUMBER(SEARCH($B107, FORECAST!$A$12:$A$475))) * (INT(FORECAST!$B$12:$B$475) &lt;= G$104) * (INT(FORECAST!$C$12:$C$475) &gt;= G$104), 0), 0)), "")</f>
        <v/>
      </c>
      <c r="H107" s="36" t="str" cm="1">
        <f t="array" ref="H107">IFERROR(INDEX(FORECAST!$D$12:$D$475, MATCH(1, INDEX((ISNUMBER(SEARCH($B107, FORECAST!$A$12:$A$475))) * (INT(FORECAST!$B$12:$B$475) &lt;= H$104) * (INT(FORECAST!$C$12:$C$475) &gt;= H$104), 0), 0)), "")</f>
        <v/>
      </c>
      <c r="I107" s="36" t="str" cm="1">
        <f t="array" ref="I107">IFERROR(INDEX(FORECAST!$D$12:$D$475, MATCH(1, INDEX((ISNUMBER(SEARCH($B107, FORECAST!$A$12:$A$475))) * (INT(FORECAST!$B$12:$B$475) &lt;= I$104) * (INT(FORECAST!$C$12:$C$475) &gt;= I$104), 0), 0)), "")</f>
        <v/>
      </c>
      <c r="J107" s="36" t="str" cm="1">
        <f t="array" ref="J107">IFERROR(INDEX(FORECAST!$D$12:$D$475, MATCH(1, INDEX((ISNUMBER(SEARCH($B107, FORECAST!$A$12:$A$475))) * (INT(FORECAST!$B$12:$B$475) &lt;= J$104) * (INT(FORECAST!$C$12:$C$475) &gt;= J$104), 0), 0)), "")</f>
        <v/>
      </c>
      <c r="K107" s="36" t="str" cm="1">
        <f t="array" ref="K107">IFERROR(INDEX(FORECAST!$D$12:$D$475, MATCH(1, INDEX((ISNUMBER(SEARCH($B107, FORECAST!$A$12:$A$475))) * (INT(FORECAST!$B$12:$B$475) &lt;= K$104) * (INT(FORECAST!$C$12:$C$475) &gt;= K$104), 0), 0)), "")</f>
        <v/>
      </c>
      <c r="L107" s="36" t="str" cm="1">
        <f t="array" ref="L107">IFERROR(INDEX(FORECAST!$D$12:$D$475, MATCH(1, INDEX((ISNUMBER(SEARCH($B107, FORECAST!$A$12:$A$475))) * (INT(FORECAST!$B$12:$B$475) &lt;= L$104) * (INT(FORECAST!$C$12:$C$475) &gt;= L$104), 0), 0)), "")</f>
        <v/>
      </c>
      <c r="M107" s="36" t="str" cm="1">
        <f t="array" ref="M107">IFERROR(INDEX(FORECAST!$D$12:$D$475, MATCH(1, INDEX((ISNUMBER(SEARCH($B107, FORECAST!$A$12:$A$475))) * (INT(FORECAST!$B$12:$B$475) &lt;= M$104) * (INT(FORECAST!$C$12:$C$475) &gt;= M$104), 0), 0)), "")</f>
        <v/>
      </c>
      <c r="N107" s="36" t="str" cm="1">
        <f t="array" ref="N107">IFERROR(INDEX(FORECAST!$D$12:$D$475, MATCH(1, INDEX((ISNUMBER(SEARCH($B107, FORECAST!$A$12:$A$475))) * (INT(FORECAST!$B$12:$B$475) &lt;= N$104) * (INT(FORECAST!$C$12:$C$475) &gt;= N$104), 0), 0)), "")</f>
        <v/>
      </c>
      <c r="O107" s="36" t="str" cm="1">
        <f t="array" ref="O107">IFERROR(INDEX(FORECAST!$D$12:$D$475, MATCH(1, INDEX((ISNUMBER(SEARCH($B107, FORECAST!$A$12:$A$475))) * (INT(FORECAST!$B$12:$B$475) &lt;= O$104) * (INT(FORECAST!$C$12:$C$475) &gt;= O$104), 0), 0)), "")</f>
        <v/>
      </c>
      <c r="P107" s="36" t="str" cm="1">
        <f t="array" ref="P107">IFERROR(INDEX(FORECAST!$D$12:$D$475, MATCH(1, INDEX((ISNUMBER(SEARCH($B107, FORECAST!$A$12:$A$475))) * (INT(FORECAST!$B$12:$B$475) &lt;= P$104) * (INT(FORECAST!$C$12:$C$475) &gt;= P$104), 0), 0)), "")</f>
        <v>Garantizado</v>
      </c>
      <c r="Q107" s="36" t="str" cm="1">
        <f t="array" ref="Q107">IFERROR(INDEX(FORECAST!$D$12:$D$475, MATCH(1, INDEX((ISNUMBER(SEARCH($B107, FORECAST!$A$12:$A$475))) * (INT(FORECAST!$B$12:$B$475) &lt;= Q$104) * (INT(FORECAST!$C$12:$C$475) &gt;= Q$104), 0), 0)), "")</f>
        <v>Garantizado</v>
      </c>
      <c r="R107" s="36" t="str" cm="1">
        <f t="array" ref="R107">IFERROR(INDEX(FORECAST!$D$12:$D$475, MATCH(1, INDEX((ISNUMBER(SEARCH($B107, FORECAST!$A$12:$A$475))) * (INT(FORECAST!$B$12:$B$475) &lt;= R$104) * (INT(FORECAST!$C$12:$C$475) &gt;= R$104), 0), 0)), "")</f>
        <v>Garantizado</v>
      </c>
      <c r="S107" s="36" t="str" cm="1">
        <f t="array" ref="S107">IFERROR(INDEX(FORECAST!$D$12:$D$475, MATCH(1, INDEX((ISNUMBER(SEARCH($B107, FORECAST!$A$12:$A$475))) * (INT(FORECAST!$B$12:$B$475) &lt;= S$104) * (INT(FORECAST!$C$12:$C$475) &gt;= S$104), 0), 0)), "")</f>
        <v>Garantizado</v>
      </c>
      <c r="T107" s="36" t="str" cm="1">
        <f t="array" ref="T107">IFERROR(INDEX(FORECAST!$D$12:$D$475, MATCH(1, INDEX((ISNUMBER(SEARCH($B107, FORECAST!$A$12:$A$475))) * (INT(FORECAST!$B$12:$B$475) &lt;= T$104) * (INT(FORECAST!$C$12:$C$475) &gt;= T$104), 0), 0)), "")</f>
        <v>Garantizado</v>
      </c>
      <c r="U107" s="36" t="str" cm="1">
        <f t="array" ref="U107">IFERROR(INDEX(FORECAST!$D$12:$D$475, MATCH(1, INDEX((ISNUMBER(SEARCH($B107, FORECAST!$A$12:$A$475))) * (INT(FORECAST!$B$12:$B$475) &lt;= U$104) * (INT(FORECAST!$C$12:$C$475) &gt;= U$104), 0), 0)), "")</f>
        <v/>
      </c>
      <c r="V107" s="36" t="str" cm="1">
        <f t="array" ref="V107">IFERROR(INDEX(FORECAST!$D$12:$D$475, MATCH(1, INDEX((ISNUMBER(SEARCH($B107, FORECAST!$A$12:$A$475))) * (INT(FORECAST!$B$12:$B$475) &lt;= V$104) * (INT(FORECAST!$C$12:$C$475) &gt;= V$104), 0), 0)), "")</f>
        <v/>
      </c>
      <c r="W107" s="36" t="str" cm="1">
        <f t="array" ref="W107">IFERROR(INDEX(FORECAST!$D$12:$D$475, MATCH(1, INDEX((ISNUMBER(SEARCH($B107, FORECAST!$A$12:$A$475))) * (INT(FORECAST!$B$12:$B$475) &lt;= W$104) * (INT(FORECAST!$C$12:$C$475) &gt;= W$104), 0), 0)), "")</f>
        <v>Garantizado</v>
      </c>
      <c r="X107" s="36" t="str" cm="1">
        <f t="array" ref="X107">IFERROR(INDEX(FORECAST!$D$12:$D$475, MATCH(1, INDEX((ISNUMBER(SEARCH($B107, FORECAST!$A$12:$A$475))) * (INT(FORECAST!$B$12:$B$475) &lt;= X$104) * (INT(FORECAST!$C$12:$C$475) &gt;= X$104), 0), 0)), "")</f>
        <v>Garantizado</v>
      </c>
      <c r="Y107" s="36" t="str" cm="1">
        <f t="array" ref="Y107">IFERROR(INDEX(FORECAST!$D$12:$D$475, MATCH(1, INDEX((ISNUMBER(SEARCH($B107, FORECAST!$A$12:$A$475))) * (INT(FORECAST!$B$12:$B$475) &lt;= Y$104) * (INT(FORECAST!$C$12:$C$475) &gt;= Y$104), 0), 0)), "")</f>
        <v>Garantizado</v>
      </c>
      <c r="Z107" s="36" t="str" cm="1">
        <f t="array" ref="Z107">IFERROR(INDEX(FORECAST!$D$12:$D$475, MATCH(1, INDEX((ISNUMBER(SEARCH($B107, FORECAST!$A$12:$A$475))) * (INT(FORECAST!$B$12:$B$475) &lt;= Z$104) * (INT(FORECAST!$C$12:$C$475) &gt;= Z$104), 0), 0)), "")</f>
        <v>Garantizado</v>
      </c>
      <c r="AA107" s="36" t="str" cm="1">
        <f t="array" ref="AA107">IFERROR(INDEX(FORECAST!$D$12:$D$475, MATCH(1, INDEX((ISNUMBER(SEARCH($B107, FORECAST!$A$12:$A$475))) * (INT(FORECAST!$B$12:$B$475) &lt;= AA$104) * (INT(FORECAST!$C$12:$C$475) &gt;= AA$104), 0), 0)), "")</f>
        <v>Garantizado</v>
      </c>
      <c r="AB107" s="36" t="str" cm="1">
        <f t="array" ref="AB107">IFERROR(INDEX(FORECAST!$D$12:$D$475, MATCH(1, INDEX((ISNUMBER(SEARCH($B107, FORECAST!$A$12:$A$475))) * (INT(FORECAST!$B$12:$B$475) &lt;= AB$104) * (INT(FORECAST!$C$12:$C$475) &gt;= AB$104), 0), 0)), "")</f>
        <v>Garantizado</v>
      </c>
      <c r="AC107" s="36" t="str" cm="1">
        <f t="array" ref="AC107">IFERROR(INDEX(FORECAST!$D$12:$D$475, MATCH(1, INDEX((ISNUMBER(SEARCH($B107, FORECAST!$A$12:$A$475))) * (INT(FORECAST!$B$12:$B$475) &lt;= AC$104) * (INT(FORECAST!$C$12:$C$475) &gt;= AC$104), 0), 0)), "")</f>
        <v/>
      </c>
      <c r="AD107" s="36" t="str" cm="1">
        <f t="array" ref="AD107">IFERROR(INDEX(FORECAST!$D$12:$D$475, MATCH(1, INDEX((ISNUMBER(SEARCH($B107, FORECAST!$A$12:$A$475))) * (INT(FORECAST!$B$12:$B$475) &lt;= AD$104) * (INT(FORECAST!$C$12:$C$475) &gt;= AD$104), 0), 0)), "")</f>
        <v/>
      </c>
      <c r="AE107" s="36" t="str" cm="1">
        <f t="array" ref="AE107">IFERROR(INDEX(FORECAST!$D$12:$D$475, MATCH(1, INDEX((ISNUMBER(SEARCH($B107, FORECAST!$A$12:$A$475))) * (INT(FORECAST!$B$12:$B$475) &lt;= AE$104) * (INT(FORECAST!$C$12:$C$475) &gt;= AE$104), 0), 0)), "")</f>
        <v/>
      </c>
      <c r="AF107" s="36" t="str" cm="1">
        <f t="array" ref="AF107">IFERROR(INDEX(FORECAST!$D$12:$D$475, MATCH(1, INDEX((ISNUMBER(SEARCH($B107, FORECAST!$A$12:$A$475))) * (INT(FORECAST!$B$12:$B$475) &lt;= AF$104) * (INT(FORECAST!$C$12:$C$475) &gt;= AF$104), 0), 0)), "")</f>
        <v/>
      </c>
      <c r="AG107" s="10" t="str" cm="1">
        <f t="array" ref="AG107">IFERROR(INDEX(FORECAST!$E$12:$E$475, MATCH(1, INDEX((ISNUMBER(SEARCH($B107, FORECAST!$A$12:$A$475))) * (INT(FORECAST!$B$12:$B$475) &lt;= AG$34) * (INT(FORECAST!$C$12:$C$475) &gt;= AG$34), 0), 0)), "")</f>
        <v/>
      </c>
      <c r="AH107" s="2"/>
      <c r="AI107" s="2"/>
      <c r="AJ107" s="45">
        <f t="shared" si="8"/>
        <v>0.46666666666666667</v>
      </c>
      <c r="AL107" s="30" t="s">
        <v>520</v>
      </c>
    </row>
    <row r="108" spans="1:38" x14ac:dyDescent="0.25">
      <c r="A108" s="69"/>
      <c r="B108" s="25" t="s">
        <v>521</v>
      </c>
      <c r="C108" s="36" t="str" cm="1">
        <f t="array" ref="C108">IFERROR(INDEX(FORECAST!$D$12:$D$475, MATCH(1, INDEX((ISNUMBER(SEARCH($B108, FORECAST!$A$12:$A$475))) * (INT(FORECAST!$B$12:$B$475) &lt;= C$104) * (INT(FORECAST!$C$12:$C$475) &gt;= C$104), 0), 0)), "")</f>
        <v>Garantizado</v>
      </c>
      <c r="D108" s="36" t="str" cm="1">
        <f t="array" ref="D108">IFERROR(INDEX(FORECAST!$D$12:$D$475, MATCH(1, INDEX((ISNUMBER(SEARCH($B108, FORECAST!$A$12:$A$475))) * (INT(FORECAST!$B$12:$B$475) &lt;= D$104) * (INT(FORECAST!$C$12:$C$475) &gt;= D$104), 0), 0)), "")</f>
        <v>Garantizado</v>
      </c>
      <c r="E108" s="36" t="str" cm="1">
        <f t="array" ref="E108">IFERROR(INDEX(FORECAST!$D$12:$D$475, MATCH(1, INDEX((ISNUMBER(SEARCH($B108, FORECAST!$A$12:$A$475))) * (INT(FORECAST!$B$12:$B$475) &lt;= E$104) * (INT(FORECAST!$C$12:$C$475) &gt;= E$104), 0), 0)), "")</f>
        <v>Garantizado</v>
      </c>
      <c r="F108" s="36" t="str" cm="1">
        <f t="array" ref="F108">IFERROR(INDEX(FORECAST!$D$12:$D$475, MATCH(1, INDEX((ISNUMBER(SEARCH($B108, FORECAST!$A$12:$A$475))) * (INT(FORECAST!$B$12:$B$475) &lt;= F$104) * (INT(FORECAST!$C$12:$C$475) &gt;= F$104), 0), 0)), "")</f>
        <v>Garantizado</v>
      </c>
      <c r="G108" s="36" t="str" cm="1">
        <f t="array" ref="G108">IFERROR(INDEX(FORECAST!$D$12:$D$475, MATCH(1, INDEX((ISNUMBER(SEARCH($B108, FORECAST!$A$12:$A$475))) * (INT(FORECAST!$B$12:$B$475) &lt;= G$104) * (INT(FORECAST!$C$12:$C$475) &gt;= G$104), 0), 0)), "")</f>
        <v>Garantizado</v>
      </c>
      <c r="H108" s="36" t="str" cm="1">
        <f t="array" ref="H108">IFERROR(INDEX(FORECAST!$D$12:$D$475, MATCH(1, INDEX((ISNUMBER(SEARCH($B108, FORECAST!$A$12:$A$475))) * (INT(FORECAST!$B$12:$B$475) &lt;= H$104) * (INT(FORECAST!$C$12:$C$475) &gt;= H$104), 0), 0)), "")</f>
        <v>Garantizado</v>
      </c>
      <c r="I108" s="36" t="str" cm="1">
        <f t="array" ref="I108">IFERROR(INDEX(FORECAST!$D$12:$D$475, MATCH(1, INDEX((ISNUMBER(SEARCH($B108, FORECAST!$A$12:$A$475))) * (INT(FORECAST!$B$12:$B$475) &lt;= I$104) * (INT(FORECAST!$C$12:$C$475) &gt;= I$104), 0), 0)), "")</f>
        <v/>
      </c>
      <c r="J108" s="36" t="str" cm="1">
        <f t="array" ref="J108">IFERROR(INDEX(FORECAST!$D$12:$D$475, MATCH(1, INDEX((ISNUMBER(SEARCH($B108, FORECAST!$A$12:$A$475))) * (INT(FORECAST!$B$12:$B$475) &lt;= J$104) * (INT(FORECAST!$C$12:$C$475) &gt;= J$104), 0), 0)), "")</f>
        <v/>
      </c>
      <c r="K108" s="36" t="str" cm="1">
        <f t="array" ref="K108">IFERROR(INDEX(FORECAST!$D$12:$D$475, MATCH(1, INDEX((ISNUMBER(SEARCH($B108, FORECAST!$A$12:$A$475))) * (INT(FORECAST!$B$12:$B$475) &lt;= K$104) * (INT(FORECAST!$C$12:$C$475) &gt;= K$104), 0), 0)), "")</f>
        <v/>
      </c>
      <c r="L108" s="36" t="str" cm="1">
        <f t="array" ref="L108">IFERROR(INDEX(FORECAST!$D$12:$D$475, MATCH(1, INDEX((ISNUMBER(SEARCH($B108, FORECAST!$A$12:$A$475))) * (INT(FORECAST!$B$12:$B$475) &lt;= L$104) * (INT(FORECAST!$C$12:$C$475) &gt;= L$104), 0), 0)), "")</f>
        <v/>
      </c>
      <c r="M108" s="36" t="str" cm="1">
        <f t="array" ref="M108">IFERROR(INDEX(FORECAST!$D$12:$D$475, MATCH(1, INDEX((ISNUMBER(SEARCH($B108, FORECAST!$A$12:$A$475))) * (INT(FORECAST!$B$12:$B$475) &lt;= M$104) * (INT(FORECAST!$C$12:$C$475) &gt;= M$104), 0), 0)), "")</f>
        <v>Garantizado</v>
      </c>
      <c r="N108" s="36" t="str" cm="1">
        <f t="array" ref="N108">IFERROR(INDEX(FORECAST!$D$12:$D$475, MATCH(1, INDEX((ISNUMBER(SEARCH($B108, FORECAST!$A$12:$A$475))) * (INT(FORECAST!$B$12:$B$475) &lt;= N$104) * (INT(FORECAST!$C$12:$C$475) &gt;= N$104), 0), 0)), "")</f>
        <v>Garantizado</v>
      </c>
      <c r="O108" s="36" t="str" cm="1">
        <f t="array" ref="O108">IFERROR(INDEX(FORECAST!$D$12:$D$475, MATCH(1, INDEX((ISNUMBER(SEARCH($B108, FORECAST!$A$12:$A$475))) * (INT(FORECAST!$B$12:$B$475) &lt;= O$104) * (INT(FORECAST!$C$12:$C$475) &gt;= O$104), 0), 0)), "")</f>
        <v>Garantizado</v>
      </c>
      <c r="P108" s="36" t="str" cm="1">
        <f t="array" ref="P108">IFERROR(INDEX(FORECAST!$D$12:$D$475, MATCH(1, INDEX((ISNUMBER(SEARCH($B108, FORECAST!$A$12:$A$475))) * (INT(FORECAST!$B$12:$B$475) &lt;= P$104) * (INT(FORECAST!$C$12:$C$475) &gt;= P$104), 0), 0)), "")</f>
        <v/>
      </c>
      <c r="Q108" s="36" t="str" cm="1">
        <f t="array" ref="Q108">IFERROR(INDEX(FORECAST!$D$12:$D$475, MATCH(1, INDEX((ISNUMBER(SEARCH($B108, FORECAST!$A$12:$A$475))) * (INT(FORECAST!$B$12:$B$475) &lt;= Q$104) * (INT(FORECAST!$C$12:$C$475) &gt;= Q$104), 0), 0)), "")</f>
        <v/>
      </c>
      <c r="R108" s="36" t="str" cm="1">
        <f t="array" ref="R108">IFERROR(INDEX(FORECAST!$D$12:$D$475, MATCH(1, INDEX((ISNUMBER(SEARCH($B108, FORECAST!$A$12:$A$475))) * (INT(FORECAST!$B$12:$B$475) &lt;= R$104) * (INT(FORECAST!$C$12:$C$475) &gt;= R$104), 0), 0)), "")</f>
        <v/>
      </c>
      <c r="S108" s="36" t="str" cm="1">
        <f t="array" ref="S108">IFERROR(INDEX(FORECAST!$D$12:$D$475, MATCH(1, INDEX((ISNUMBER(SEARCH($B108, FORECAST!$A$12:$A$475))) * (INT(FORECAST!$B$12:$B$475) &lt;= S$104) * (INT(FORECAST!$C$12:$C$475) &gt;= S$104), 0), 0)), "")</f>
        <v/>
      </c>
      <c r="T108" s="36" t="str" cm="1">
        <f t="array" ref="T108">IFERROR(INDEX(FORECAST!$D$12:$D$475, MATCH(1, INDEX((ISNUMBER(SEARCH($B108, FORECAST!$A$12:$A$475))) * (INT(FORECAST!$B$12:$B$475) &lt;= T$104) * (INT(FORECAST!$C$12:$C$475) &gt;= T$104), 0), 0)), "")</f>
        <v/>
      </c>
      <c r="U108" s="36" t="str" cm="1">
        <f t="array" ref="U108">IFERROR(INDEX(FORECAST!$D$12:$D$475, MATCH(1, INDEX((ISNUMBER(SEARCH($B108, FORECAST!$A$12:$A$475))) * (INT(FORECAST!$B$12:$B$475) &lt;= U$104) * (INT(FORECAST!$C$12:$C$475) &gt;= U$104), 0), 0)), "")</f>
        <v>Garantizado</v>
      </c>
      <c r="V108" s="36" t="str" cm="1">
        <f t="array" ref="V108">IFERROR(INDEX(FORECAST!$D$12:$D$475, MATCH(1, INDEX((ISNUMBER(SEARCH($B108, FORECAST!$A$12:$A$475))) * (INT(FORECAST!$B$12:$B$475) &lt;= V$104) * (INT(FORECAST!$C$12:$C$475) &gt;= V$104), 0), 0)), "")</f>
        <v>Garantizado</v>
      </c>
      <c r="W108" s="36" t="str" cm="1">
        <f t="array" ref="W108">IFERROR(INDEX(FORECAST!$D$12:$D$475, MATCH(1, INDEX((ISNUMBER(SEARCH($B108, FORECAST!$A$12:$A$475))) * (INT(FORECAST!$B$12:$B$475) &lt;= W$104) * (INT(FORECAST!$C$12:$C$475) &gt;= W$104), 0), 0)), "")</f>
        <v>Garantizado</v>
      </c>
      <c r="X108" s="36" t="str" cm="1">
        <f t="array" ref="X108">IFERROR(INDEX(FORECAST!$D$12:$D$475, MATCH(1, INDEX((ISNUMBER(SEARCH($B108, FORECAST!$A$12:$A$475))) * (INT(FORECAST!$B$12:$B$475) &lt;= X$104) * (INT(FORECAST!$C$12:$C$475) &gt;= X$104), 0), 0)), "")</f>
        <v>Garantizado</v>
      </c>
      <c r="Y108" s="36" t="str" cm="1">
        <f t="array" ref="Y108">IFERROR(INDEX(FORECAST!$D$12:$D$475, MATCH(1, INDEX((ISNUMBER(SEARCH($B108, FORECAST!$A$12:$A$475))) * (INT(FORECAST!$B$12:$B$475) &lt;= Y$104) * (INT(FORECAST!$C$12:$C$475) &gt;= Y$104), 0), 0)), "")</f>
        <v>Garantizado</v>
      </c>
      <c r="Z108" s="36" t="str" cm="1">
        <f t="array" ref="Z108">IFERROR(INDEX(FORECAST!$D$12:$D$475, MATCH(1, INDEX((ISNUMBER(SEARCH($B108, FORECAST!$A$12:$A$475))) * (INT(FORECAST!$B$12:$B$475) &lt;= Z$104) * (INT(FORECAST!$C$12:$C$475) &gt;= Z$104), 0), 0)), "")</f>
        <v>Garantizado</v>
      </c>
      <c r="AA108" s="36" t="str" cm="1">
        <f t="array" ref="AA108">IFERROR(INDEX(FORECAST!$D$12:$D$475, MATCH(1, INDEX((ISNUMBER(SEARCH($B108, FORECAST!$A$12:$A$475))) * (INT(FORECAST!$B$12:$B$475) &lt;= AA$104) * (INT(FORECAST!$C$12:$C$475) &gt;= AA$104), 0), 0)), "")</f>
        <v>Garantizado</v>
      </c>
      <c r="AB108" s="36" t="str" cm="1">
        <f t="array" ref="AB108">IFERROR(INDEX(FORECAST!$D$12:$D$475, MATCH(1, INDEX((ISNUMBER(SEARCH($B108, FORECAST!$A$12:$A$475))) * (INT(FORECAST!$B$12:$B$475) &lt;= AB$104) * (INT(FORECAST!$C$12:$C$475) &gt;= AB$104), 0), 0)), "")</f>
        <v>Garantizado</v>
      </c>
      <c r="AC108" s="36" t="str" cm="1">
        <f t="array" ref="AC108">IFERROR(INDEX(FORECAST!$D$12:$D$475, MATCH(1, INDEX((ISNUMBER(SEARCH($B108, FORECAST!$A$12:$A$475))) * (INT(FORECAST!$B$12:$B$475) &lt;= AC$104) * (INT(FORECAST!$C$12:$C$475) &gt;= AC$104), 0), 0)), "")</f>
        <v/>
      </c>
      <c r="AD108" s="36" t="str" cm="1">
        <f t="array" ref="AD108">IFERROR(INDEX(FORECAST!$D$12:$D$475, MATCH(1, INDEX((ISNUMBER(SEARCH($B108, FORECAST!$A$12:$A$475))) * (INT(FORECAST!$B$12:$B$475) &lt;= AD$104) * (INT(FORECAST!$C$12:$C$475) &gt;= AD$104), 0), 0)), "")</f>
        <v/>
      </c>
      <c r="AE108" s="36" t="str" cm="1">
        <f t="array" ref="AE108">IFERROR(INDEX(FORECAST!$D$12:$D$475, MATCH(1, INDEX((ISNUMBER(SEARCH($B108, FORECAST!$A$12:$A$475))) * (INT(FORECAST!$B$12:$B$475) &lt;= AE$104) * (INT(FORECAST!$C$12:$C$475) &gt;= AE$104), 0), 0)), "")</f>
        <v/>
      </c>
      <c r="AF108" s="36" t="str" cm="1">
        <f t="array" ref="AF108">IFERROR(INDEX(FORECAST!$D$12:$D$475, MATCH(1, INDEX((ISNUMBER(SEARCH($B108, FORECAST!$A$12:$A$475))) * (INT(FORECAST!$B$12:$B$475) &lt;= AF$104) * (INT(FORECAST!$C$12:$C$475) &gt;= AF$104), 0), 0)), "")</f>
        <v/>
      </c>
      <c r="AG108" s="10" t="str" cm="1">
        <f t="array" ref="AG108">IFERROR(INDEX(FORECAST!$E$12:$E$475, MATCH(1, INDEX((ISNUMBER(SEARCH($B108, FORECAST!$A$12:$A$475))) * (INT(FORECAST!$B$12:$B$475) &lt;= AG$34) * (INT(FORECAST!$C$12:$C$475) &gt;= AG$34), 0), 0)), "")</f>
        <v/>
      </c>
      <c r="AH108" s="16"/>
      <c r="AI108" s="2"/>
      <c r="AJ108" s="45">
        <f t="shared" si="8"/>
        <v>0.56666666666666665</v>
      </c>
      <c r="AL108" s="45">
        <f>COUNTIF('PLANNING 2026'!C105:AF111,"Garantizado")/COUNTA('PLANNING 2026'!C105:AF111)</f>
        <v>0.47142857142857142</v>
      </c>
    </row>
    <row r="109" spans="1:38" x14ac:dyDescent="0.25">
      <c r="A109" s="69"/>
      <c r="B109" s="25" t="s">
        <v>522</v>
      </c>
      <c r="C109" s="36" t="str" cm="1">
        <f t="array" ref="C109">IFERROR(INDEX(FORECAST!$D$12:$D$475, MATCH(1, INDEX((ISNUMBER(SEARCH($B109, FORECAST!$A$12:$A$475))) * (INT(FORECAST!$B$12:$B$475) &lt;= C$104) * (INT(FORECAST!$C$12:$C$475) &gt;= C$104), 0), 0)), "")</f>
        <v>Garantizado</v>
      </c>
      <c r="D109" s="36" t="str" cm="1">
        <f t="array" ref="D109">IFERROR(INDEX(FORECAST!$D$12:$D$475, MATCH(1, INDEX((ISNUMBER(SEARCH($B109, FORECAST!$A$12:$A$475))) * (INT(FORECAST!$B$12:$B$475) &lt;= D$104) * (INT(FORECAST!$C$12:$C$475) &gt;= D$104), 0), 0)), "")</f>
        <v>Garantizado</v>
      </c>
      <c r="E109" s="36" t="str" cm="1">
        <f t="array" ref="E109">IFERROR(INDEX(FORECAST!$D$12:$D$475, MATCH(1, INDEX((ISNUMBER(SEARCH($B109, FORECAST!$A$12:$A$475))) * (INT(FORECAST!$B$12:$B$475) &lt;= E$104) * (INT(FORECAST!$C$12:$C$475) &gt;= E$104), 0), 0)), "")</f>
        <v>Garantizado</v>
      </c>
      <c r="F109" s="36" t="str" cm="1">
        <f t="array" ref="F109">IFERROR(INDEX(FORECAST!$D$12:$D$475, MATCH(1, INDEX((ISNUMBER(SEARCH($B109, FORECAST!$A$12:$A$475))) * (INT(FORECAST!$B$12:$B$475) &lt;= F$104) * (INT(FORECAST!$C$12:$C$475) &gt;= F$104), 0), 0)), "")</f>
        <v>Garantizado</v>
      </c>
      <c r="G109" s="36" t="str" cm="1">
        <f t="array" ref="G109">IFERROR(INDEX(FORECAST!$D$12:$D$475, MATCH(1, INDEX((ISNUMBER(SEARCH($B109, FORECAST!$A$12:$A$475))) * (INT(FORECAST!$B$12:$B$475) &lt;= G$104) * (INT(FORECAST!$C$12:$C$475) &gt;= G$104), 0), 0)), "")</f>
        <v>Garantizado</v>
      </c>
      <c r="H109" s="36" t="str" cm="1">
        <f t="array" ref="H109">IFERROR(INDEX(FORECAST!$D$12:$D$475, MATCH(1, INDEX((ISNUMBER(SEARCH($B109, FORECAST!$A$12:$A$475))) * (INT(FORECAST!$B$12:$B$475) &lt;= H$104) * (INT(FORECAST!$C$12:$C$475) &gt;= H$104), 0), 0)), "")</f>
        <v>Garantizado</v>
      </c>
      <c r="I109" s="36" t="str" cm="1">
        <f t="array" ref="I109">IFERROR(INDEX(FORECAST!$D$12:$D$475, MATCH(1, INDEX((ISNUMBER(SEARCH($B109, FORECAST!$A$12:$A$475))) * (INT(FORECAST!$B$12:$B$475) &lt;= I$104) * (INT(FORECAST!$C$12:$C$475) &gt;= I$104), 0), 0)), "")</f>
        <v/>
      </c>
      <c r="J109" s="36" t="str" cm="1">
        <f t="array" ref="J109">IFERROR(INDEX(FORECAST!$D$12:$D$475, MATCH(1, INDEX((ISNUMBER(SEARCH($B109, FORECAST!$A$12:$A$475))) * (INT(FORECAST!$B$12:$B$475) &lt;= J$104) * (INT(FORECAST!$C$12:$C$475) &gt;= J$104), 0), 0)), "")</f>
        <v/>
      </c>
      <c r="K109" s="36" t="str" cm="1">
        <f t="array" ref="K109">IFERROR(INDEX(FORECAST!$D$12:$D$475, MATCH(1, INDEX((ISNUMBER(SEARCH($B109, FORECAST!$A$12:$A$475))) * (INT(FORECAST!$B$12:$B$475) &lt;= K$104) * (INT(FORECAST!$C$12:$C$475) &gt;= K$104), 0), 0)), "")</f>
        <v/>
      </c>
      <c r="L109" s="36" t="str" cm="1">
        <f t="array" ref="L109">IFERROR(INDEX(FORECAST!$D$12:$D$475, MATCH(1, INDEX((ISNUMBER(SEARCH($B109, FORECAST!$A$12:$A$475))) * (INT(FORECAST!$B$12:$B$475) &lt;= L$104) * (INT(FORECAST!$C$12:$C$475) &gt;= L$104), 0), 0)), "")</f>
        <v/>
      </c>
      <c r="M109" s="36" t="str" cm="1">
        <f t="array" ref="M109">IFERROR(INDEX(FORECAST!$D$12:$D$475, MATCH(1, INDEX((ISNUMBER(SEARCH($B109, FORECAST!$A$12:$A$475))) * (INT(FORECAST!$B$12:$B$475) &lt;= M$104) * (INT(FORECAST!$C$12:$C$475) &gt;= M$104), 0), 0)), "")</f>
        <v/>
      </c>
      <c r="N109" s="36" t="str" cm="1">
        <f t="array" ref="N109">IFERROR(INDEX(FORECAST!$D$12:$D$475, MATCH(1, INDEX((ISNUMBER(SEARCH($B109, FORECAST!$A$12:$A$475))) * (INT(FORECAST!$B$12:$B$475) &lt;= N$104) * (INT(FORECAST!$C$12:$C$475) &gt;= N$104), 0), 0)), "")</f>
        <v/>
      </c>
      <c r="O109" s="36" t="str" cm="1">
        <f t="array" ref="O109">IFERROR(INDEX(FORECAST!$D$12:$D$475, MATCH(1, INDEX((ISNUMBER(SEARCH($B109, FORECAST!$A$12:$A$475))) * (INT(FORECAST!$B$12:$B$475) &lt;= O$104) * (INT(FORECAST!$C$12:$C$475) &gt;= O$104), 0), 0)), "")</f>
        <v/>
      </c>
      <c r="P109" s="36" t="str" cm="1">
        <f t="array" ref="P109">IFERROR(INDEX(FORECAST!$D$12:$D$475, MATCH(1, INDEX((ISNUMBER(SEARCH($B109, FORECAST!$A$12:$A$475))) * (INT(FORECAST!$B$12:$B$475) &lt;= P$104) * (INT(FORECAST!$C$12:$C$475) &gt;= P$104), 0), 0)), "")</f>
        <v/>
      </c>
      <c r="Q109" s="36" t="str" cm="1">
        <f t="array" ref="Q109">IFERROR(INDEX(FORECAST!$D$12:$D$475, MATCH(1, INDEX((ISNUMBER(SEARCH($B109, FORECAST!$A$12:$A$475))) * (INT(FORECAST!$B$12:$B$475) &lt;= Q$104) * (INT(FORECAST!$C$12:$C$475) &gt;= Q$104), 0), 0)), "")</f>
        <v/>
      </c>
      <c r="R109" s="36" t="str" cm="1">
        <f t="array" ref="R109">IFERROR(INDEX(FORECAST!$D$12:$D$475, MATCH(1, INDEX((ISNUMBER(SEARCH($B109, FORECAST!$A$12:$A$475))) * (INT(FORECAST!$B$12:$B$475) &lt;= R$104) * (INT(FORECAST!$C$12:$C$475) &gt;= R$104), 0), 0)), "")</f>
        <v/>
      </c>
      <c r="S109" s="36" t="str" cm="1">
        <f t="array" ref="S109">IFERROR(INDEX(FORECAST!$D$12:$D$475, MATCH(1, INDEX((ISNUMBER(SEARCH($B109, FORECAST!$A$12:$A$475))) * (INT(FORECAST!$B$12:$B$475) &lt;= S$104) * (INT(FORECAST!$C$12:$C$475) &gt;= S$104), 0), 0)), "")</f>
        <v/>
      </c>
      <c r="T109" s="36" t="str" cm="1">
        <f t="array" ref="T109">IFERROR(INDEX(FORECAST!$D$12:$D$475, MATCH(1, INDEX((ISNUMBER(SEARCH($B109, FORECAST!$A$12:$A$475))) * (INT(FORECAST!$B$12:$B$475) &lt;= T$104) * (INT(FORECAST!$C$12:$C$475) &gt;= T$104), 0), 0)), "")</f>
        <v/>
      </c>
      <c r="U109" s="36" t="str" cm="1">
        <f t="array" ref="U109">IFERROR(INDEX(FORECAST!$D$12:$D$475, MATCH(1, INDEX((ISNUMBER(SEARCH($B109, FORECAST!$A$12:$A$475))) * (INT(FORECAST!$B$12:$B$475) &lt;= U$104) * (INT(FORECAST!$C$12:$C$475) &gt;= U$104), 0), 0)), "")</f>
        <v>Garantizado</v>
      </c>
      <c r="V109" s="36" t="str" cm="1">
        <f t="array" ref="V109">IFERROR(INDEX(FORECAST!$D$12:$D$475, MATCH(1, INDEX((ISNUMBER(SEARCH($B109, FORECAST!$A$12:$A$475))) * (INT(FORECAST!$B$12:$B$475) &lt;= V$104) * (INT(FORECAST!$C$12:$C$475) &gt;= V$104), 0), 0)), "")</f>
        <v>Garantizado</v>
      </c>
      <c r="W109" s="36" t="str" cm="1">
        <f t="array" ref="W109">IFERROR(INDEX(FORECAST!$D$12:$D$475, MATCH(1, INDEX((ISNUMBER(SEARCH($B109, FORECAST!$A$12:$A$475))) * (INT(FORECAST!$B$12:$B$475) &lt;= W$104) * (INT(FORECAST!$C$12:$C$475) &gt;= W$104), 0), 0)), "")</f>
        <v>Garantizado</v>
      </c>
      <c r="X109" s="36" t="str" cm="1">
        <f t="array" ref="X109">IFERROR(INDEX(FORECAST!$D$12:$D$475, MATCH(1, INDEX((ISNUMBER(SEARCH($B109, FORECAST!$A$12:$A$475))) * (INT(FORECAST!$B$12:$B$475) &lt;= X$104) * (INT(FORECAST!$C$12:$C$475) &gt;= X$104), 0), 0)), "")</f>
        <v>Garantizado</v>
      </c>
      <c r="Y109" s="36" t="str" cm="1">
        <f t="array" ref="Y109">IFERROR(INDEX(FORECAST!$D$12:$D$475, MATCH(1, INDEX((ISNUMBER(SEARCH($B109, FORECAST!$A$12:$A$475))) * (INT(FORECAST!$B$12:$B$475) &lt;= Y$104) * (INT(FORECAST!$C$12:$C$475) &gt;= Y$104), 0), 0)), "")</f>
        <v>Garantizado</v>
      </c>
      <c r="Z109" s="36" t="str" cm="1">
        <f t="array" ref="Z109">IFERROR(INDEX(FORECAST!$D$12:$D$475, MATCH(1, INDEX((ISNUMBER(SEARCH($B109, FORECAST!$A$12:$A$475))) * (INT(FORECAST!$B$12:$B$475) &lt;= Z$104) * (INT(FORECAST!$C$12:$C$475) &gt;= Z$104), 0), 0)), "")</f>
        <v>Garantizado</v>
      </c>
      <c r="AA109" s="36" t="str" cm="1">
        <f t="array" ref="AA109">IFERROR(INDEX(FORECAST!$D$12:$D$475, MATCH(1, INDEX((ISNUMBER(SEARCH($B109, FORECAST!$A$12:$A$475))) * (INT(FORECAST!$B$12:$B$475) &lt;= AA$104) * (INT(FORECAST!$C$12:$C$475) &gt;= AA$104), 0), 0)), "")</f>
        <v>Garantizado</v>
      </c>
      <c r="AB109" s="36" t="str" cm="1">
        <f t="array" ref="AB109">IFERROR(INDEX(FORECAST!$D$12:$D$475, MATCH(1, INDEX((ISNUMBER(SEARCH($B109, FORECAST!$A$12:$A$475))) * (INT(FORECAST!$B$12:$B$475) &lt;= AB$104) * (INT(FORECAST!$C$12:$C$475) &gt;= AB$104), 0), 0)), "")</f>
        <v>Garantizado</v>
      </c>
      <c r="AC109" s="36" t="str" cm="1">
        <f t="array" ref="AC109">IFERROR(INDEX(FORECAST!$D$12:$D$475, MATCH(1, INDEX((ISNUMBER(SEARCH($B109, FORECAST!$A$12:$A$475))) * (INT(FORECAST!$B$12:$B$475) &lt;= AC$104) * (INT(FORECAST!$C$12:$C$475) &gt;= AC$104), 0), 0)), "")</f>
        <v/>
      </c>
      <c r="AD109" s="36" t="str" cm="1">
        <f t="array" ref="AD109">IFERROR(INDEX(FORECAST!$D$12:$D$475, MATCH(1, INDEX((ISNUMBER(SEARCH($B109, FORECAST!$A$12:$A$475))) * (INT(FORECAST!$B$12:$B$475) &lt;= AD$104) * (INT(FORECAST!$C$12:$C$475) &gt;= AD$104), 0), 0)), "")</f>
        <v/>
      </c>
      <c r="AE109" s="36" t="str" cm="1">
        <f t="array" ref="AE109">IFERROR(INDEX(FORECAST!$D$12:$D$475, MATCH(1, INDEX((ISNUMBER(SEARCH($B109, FORECAST!$A$12:$A$475))) * (INT(FORECAST!$B$12:$B$475) &lt;= AE$104) * (INT(FORECAST!$C$12:$C$475) &gt;= AE$104), 0), 0)), "")</f>
        <v/>
      </c>
      <c r="AF109" s="36" t="str" cm="1">
        <f t="array" ref="AF109">IFERROR(INDEX(FORECAST!$D$12:$D$475, MATCH(1, INDEX((ISNUMBER(SEARCH($B109, FORECAST!$A$12:$A$475))) * (INT(FORECAST!$B$12:$B$475) &lt;= AF$104) * (INT(FORECAST!$C$12:$C$475) &gt;= AF$104), 0), 0)), "")</f>
        <v/>
      </c>
      <c r="AG109" s="10" t="str" cm="1">
        <f t="array" ref="AG109">IFERROR(INDEX(FORECAST!$E$12:$E$475, MATCH(1, INDEX((ISNUMBER(SEARCH($B109, FORECAST!$A$12:$A$475))) * (INT(FORECAST!$B$12:$B$475) &lt;= AG$34) * (INT(FORECAST!$C$12:$C$475) &gt;= AG$34), 0), 0)), "")</f>
        <v/>
      </c>
      <c r="AH109" s="2"/>
      <c r="AI109" s="2"/>
      <c r="AJ109" s="45">
        <f t="shared" si="8"/>
        <v>0.46666666666666667</v>
      </c>
    </row>
    <row r="110" spans="1:38" x14ac:dyDescent="0.25">
      <c r="A110" s="69"/>
      <c r="B110" s="25" t="s">
        <v>523</v>
      </c>
      <c r="C110" s="36" t="str" cm="1">
        <f t="array" ref="C110">IFERROR(INDEX(FORECAST!$D$12:$D$475, MATCH(1, INDEX((ISNUMBER(SEARCH($B110, FORECAST!$A$12:$A$475))) * (INT(FORECAST!$B$12:$B$475) &lt;= C$104) * (INT(FORECAST!$C$12:$C$475) &gt;= C$104), 0), 0)), "")</f>
        <v/>
      </c>
      <c r="D110" s="36" t="str" cm="1">
        <f t="array" ref="D110">IFERROR(INDEX(FORECAST!$D$12:$D$475, MATCH(1, INDEX((ISNUMBER(SEARCH($B110, FORECAST!$A$12:$A$475))) * (INT(FORECAST!$B$12:$B$475) &lt;= D$104) * (INT(FORECAST!$C$12:$C$475) &gt;= D$104), 0), 0)), "")</f>
        <v/>
      </c>
      <c r="E110" s="36" t="str" cm="1">
        <f t="array" ref="E110">IFERROR(INDEX(FORECAST!$D$12:$D$475, MATCH(1, INDEX((ISNUMBER(SEARCH($B110, FORECAST!$A$12:$A$475))) * (INT(FORECAST!$B$12:$B$475) &lt;= E$104) * (INT(FORECAST!$C$12:$C$475) &gt;= E$104), 0), 0)), "")</f>
        <v/>
      </c>
      <c r="F110" s="36" t="str" cm="1">
        <f t="array" ref="F110">IFERROR(INDEX(FORECAST!$D$12:$D$475, MATCH(1, INDEX((ISNUMBER(SEARCH($B110, FORECAST!$A$12:$A$475))) * (INT(FORECAST!$B$12:$B$475) &lt;= F$104) * (INT(FORECAST!$C$12:$C$475) &gt;= F$104), 0), 0)), "")</f>
        <v/>
      </c>
      <c r="G110" s="36" t="str" cm="1">
        <f t="array" ref="G110">IFERROR(INDEX(FORECAST!$D$12:$D$475, MATCH(1, INDEX((ISNUMBER(SEARCH($B110, FORECAST!$A$12:$A$475))) * (INT(FORECAST!$B$12:$B$475) &lt;= G$104) * (INT(FORECAST!$C$12:$C$475) &gt;= G$104), 0), 0)), "")</f>
        <v/>
      </c>
      <c r="H110" s="36" t="str" cm="1">
        <f t="array" ref="H110">IFERROR(INDEX(FORECAST!$D$12:$D$475, MATCH(1, INDEX((ISNUMBER(SEARCH($B110, FORECAST!$A$12:$A$475))) * (INT(FORECAST!$B$12:$B$475) &lt;= H$104) * (INT(FORECAST!$C$12:$C$475) &gt;= H$104), 0), 0)), "")</f>
        <v/>
      </c>
      <c r="I110" s="36" t="str" cm="1">
        <f t="array" ref="I110">IFERROR(INDEX(FORECAST!$D$12:$D$475, MATCH(1, INDEX((ISNUMBER(SEARCH($B110, FORECAST!$A$12:$A$475))) * (INT(FORECAST!$B$12:$B$475) &lt;= I$104) * (INT(FORECAST!$C$12:$C$475) &gt;= I$104), 0), 0)), "")</f>
        <v/>
      </c>
      <c r="J110" s="36" t="str" cm="1">
        <f t="array" ref="J110">IFERROR(INDEX(FORECAST!$D$12:$D$475, MATCH(1, INDEX((ISNUMBER(SEARCH($B110, FORECAST!$A$12:$A$475))) * (INT(FORECAST!$B$12:$B$475) &lt;= J$104) * (INT(FORECAST!$C$12:$C$475) &gt;= J$104), 0), 0)), "")</f>
        <v/>
      </c>
      <c r="K110" s="36" t="str" cm="1">
        <f t="array" ref="K110">IFERROR(INDEX(FORECAST!$D$12:$D$475, MATCH(1, INDEX((ISNUMBER(SEARCH($B110, FORECAST!$A$12:$A$475))) * (INT(FORECAST!$B$12:$B$475) &lt;= K$104) * (INT(FORECAST!$C$12:$C$475) &gt;= K$104), 0), 0)), "")</f>
        <v/>
      </c>
      <c r="L110" s="36" t="str" cm="1">
        <f t="array" ref="L110">IFERROR(INDEX(FORECAST!$D$12:$D$475, MATCH(1, INDEX((ISNUMBER(SEARCH($B110, FORECAST!$A$12:$A$475))) * (INT(FORECAST!$B$12:$B$475) &lt;= L$104) * (INT(FORECAST!$C$12:$C$475) &gt;= L$104), 0), 0)), "")</f>
        <v/>
      </c>
      <c r="M110" s="36" t="str" cm="1">
        <f t="array" ref="M110">IFERROR(INDEX(FORECAST!$D$12:$D$475, MATCH(1, INDEX((ISNUMBER(SEARCH($B110, FORECAST!$A$12:$A$475))) * (INT(FORECAST!$B$12:$B$475) &lt;= M$104) * (INT(FORECAST!$C$12:$C$475) &gt;= M$104), 0), 0)), "")</f>
        <v/>
      </c>
      <c r="N110" s="36" t="str" cm="1">
        <f t="array" ref="N110">IFERROR(INDEX(FORECAST!$D$12:$D$475, MATCH(1, INDEX((ISNUMBER(SEARCH($B110, FORECAST!$A$12:$A$475))) * (INT(FORECAST!$B$12:$B$475) &lt;= N$104) * (INT(FORECAST!$C$12:$C$475) &gt;= N$104), 0), 0)), "")</f>
        <v/>
      </c>
      <c r="O110" s="36" t="str" cm="1">
        <f t="array" ref="O110">IFERROR(INDEX(FORECAST!$D$12:$D$475, MATCH(1, INDEX((ISNUMBER(SEARCH($B110, FORECAST!$A$12:$A$475))) * (INT(FORECAST!$B$12:$B$475) &lt;= O$104) * (INT(FORECAST!$C$12:$C$475) &gt;= O$104), 0), 0)), "")</f>
        <v/>
      </c>
      <c r="P110" s="36" t="str" cm="1">
        <f t="array" ref="P110">IFERROR(INDEX(FORECAST!$D$12:$D$475, MATCH(1, INDEX((ISNUMBER(SEARCH($B110, FORECAST!$A$12:$A$475))) * (INT(FORECAST!$B$12:$B$475) &lt;= P$104) * (INT(FORECAST!$C$12:$C$475) &gt;= P$104), 0), 0)), "")</f>
        <v/>
      </c>
      <c r="Q110" s="36" t="str" cm="1">
        <f t="array" ref="Q110">IFERROR(INDEX(FORECAST!$D$12:$D$475, MATCH(1, INDEX((ISNUMBER(SEARCH($B110, FORECAST!$A$12:$A$475))) * (INT(FORECAST!$B$12:$B$475) &lt;= Q$104) * (INT(FORECAST!$C$12:$C$475) &gt;= Q$104), 0), 0)), "")</f>
        <v/>
      </c>
      <c r="R110" s="36" t="str" cm="1">
        <f t="array" ref="R110">IFERROR(INDEX(FORECAST!$D$12:$D$475, MATCH(1, INDEX((ISNUMBER(SEARCH($B110, FORECAST!$A$12:$A$475))) * (INT(FORECAST!$B$12:$B$475) &lt;= R$104) * (INT(FORECAST!$C$12:$C$475) &gt;= R$104), 0), 0)), "")</f>
        <v/>
      </c>
      <c r="S110" s="36" t="str" cm="1">
        <f t="array" ref="S110">IFERROR(INDEX(FORECAST!$D$12:$D$475, MATCH(1, INDEX((ISNUMBER(SEARCH($B110, FORECAST!$A$12:$A$475))) * (INT(FORECAST!$B$12:$B$475) &lt;= S$104) * (INT(FORECAST!$C$12:$C$475) &gt;= S$104), 0), 0)), "")</f>
        <v/>
      </c>
      <c r="T110" s="36" t="str" cm="1">
        <f t="array" ref="T110">IFERROR(INDEX(FORECAST!$D$12:$D$475, MATCH(1, INDEX((ISNUMBER(SEARCH($B110, FORECAST!$A$12:$A$475))) * (INT(FORECAST!$B$12:$B$475) &lt;= T$104) * (INT(FORECAST!$C$12:$C$475) &gt;= T$104), 0), 0)), "")</f>
        <v/>
      </c>
      <c r="U110" s="36" t="str" cm="1">
        <f t="array" ref="U110">IFERROR(INDEX(FORECAST!$D$12:$D$475, MATCH(1, INDEX((ISNUMBER(SEARCH($B110, FORECAST!$A$12:$A$475))) * (INT(FORECAST!$B$12:$B$475) &lt;= U$104) * (INT(FORECAST!$C$12:$C$475) &gt;= U$104), 0), 0)), "")</f>
        <v>Garantizado</v>
      </c>
      <c r="V110" s="36" t="str" cm="1">
        <f t="array" ref="V110">IFERROR(INDEX(FORECAST!$D$12:$D$475, MATCH(1, INDEX((ISNUMBER(SEARCH($B110, FORECAST!$A$12:$A$475))) * (INT(FORECAST!$B$12:$B$475) &lt;= V$104) * (INT(FORECAST!$C$12:$C$475) &gt;= V$104), 0), 0)), "")</f>
        <v>Garantizado</v>
      </c>
      <c r="W110" s="36" t="str" cm="1">
        <f t="array" ref="W110">IFERROR(INDEX(FORECAST!$D$12:$D$475, MATCH(1, INDEX((ISNUMBER(SEARCH($B110, FORECAST!$A$12:$A$475))) * (INT(FORECAST!$B$12:$B$475) &lt;= W$104) * (INT(FORECAST!$C$12:$C$475) &gt;= W$104), 0), 0)), "")</f>
        <v>Garantizado</v>
      </c>
      <c r="X110" s="36" t="str" cm="1">
        <f t="array" ref="X110">IFERROR(INDEX(FORECAST!$D$12:$D$475, MATCH(1, INDEX((ISNUMBER(SEARCH($B110, FORECAST!$A$12:$A$475))) * (INT(FORECAST!$B$12:$B$475) &lt;= X$104) * (INT(FORECAST!$C$12:$C$475) &gt;= X$104), 0), 0)), "")</f>
        <v>Garantizado</v>
      </c>
      <c r="Y110" s="36" t="str" cm="1">
        <f t="array" ref="Y110">IFERROR(INDEX(FORECAST!$D$12:$D$475, MATCH(1, INDEX((ISNUMBER(SEARCH($B110, FORECAST!$A$12:$A$475))) * (INT(FORECAST!$B$12:$B$475) &lt;= Y$104) * (INT(FORECAST!$C$12:$C$475) &gt;= Y$104), 0), 0)), "")</f>
        <v>Garantizado</v>
      </c>
      <c r="Z110" s="36" t="str" cm="1">
        <f t="array" ref="Z110">IFERROR(INDEX(FORECAST!$D$12:$D$475, MATCH(1, INDEX((ISNUMBER(SEARCH($B110, FORECAST!$A$12:$A$475))) * (INT(FORECAST!$B$12:$B$475) &lt;= Z$104) * (INT(FORECAST!$C$12:$C$475) &gt;= Z$104), 0), 0)), "")</f>
        <v>Garantizado</v>
      </c>
      <c r="AA110" s="36" t="str" cm="1">
        <f t="array" ref="AA110">IFERROR(INDEX(FORECAST!$D$12:$D$475, MATCH(1, INDEX((ISNUMBER(SEARCH($B110, FORECAST!$A$12:$A$475))) * (INT(FORECAST!$B$12:$B$475) &lt;= AA$104) * (INT(FORECAST!$C$12:$C$475) &gt;= AA$104), 0), 0)), "")</f>
        <v>Garantizado</v>
      </c>
      <c r="AB110" s="36" t="str" cm="1">
        <f t="array" ref="AB110">IFERROR(INDEX(FORECAST!$D$12:$D$475, MATCH(1, INDEX((ISNUMBER(SEARCH($B110, FORECAST!$A$12:$A$475))) * (INT(FORECAST!$B$12:$B$475) &lt;= AB$104) * (INT(FORECAST!$C$12:$C$475) &gt;= AB$104), 0), 0)), "")</f>
        <v>Garantizado</v>
      </c>
      <c r="AC110" s="36" t="str" cm="1">
        <f t="array" ref="AC110">IFERROR(INDEX(FORECAST!$D$12:$D$475, MATCH(1, INDEX((ISNUMBER(SEARCH($B110, FORECAST!$A$12:$A$475))) * (INT(FORECAST!$B$12:$B$475) &lt;= AC$104) * (INT(FORECAST!$C$12:$C$475) &gt;= AC$104), 0), 0)), "")</f>
        <v/>
      </c>
      <c r="AD110" s="36" t="str" cm="1">
        <f t="array" ref="AD110">IFERROR(INDEX(FORECAST!$D$12:$D$475, MATCH(1, INDEX((ISNUMBER(SEARCH($B110, FORECAST!$A$12:$A$475))) * (INT(FORECAST!$B$12:$B$475) &lt;= AD$104) * (INT(FORECAST!$C$12:$C$475) &gt;= AD$104), 0), 0)), "")</f>
        <v/>
      </c>
      <c r="AE110" s="36" t="str" cm="1">
        <f t="array" ref="AE110">IFERROR(INDEX(FORECAST!$D$12:$D$475, MATCH(1, INDEX((ISNUMBER(SEARCH($B110, FORECAST!$A$12:$A$475))) * (INT(FORECAST!$B$12:$B$475) &lt;= AE$104) * (INT(FORECAST!$C$12:$C$475) &gt;= AE$104), 0), 0)), "")</f>
        <v/>
      </c>
      <c r="AF110" s="36" t="str" cm="1">
        <f t="array" ref="AF110">IFERROR(INDEX(FORECAST!$D$12:$D$475, MATCH(1, INDEX((ISNUMBER(SEARCH($B110, FORECAST!$A$12:$A$475))) * (INT(FORECAST!$B$12:$B$475) &lt;= AF$104) * (INT(FORECAST!$C$12:$C$475) &gt;= AF$104), 0), 0)), "")</f>
        <v/>
      </c>
      <c r="AG110" s="10" t="str" cm="1">
        <f t="array" ref="AG110">IFERROR(INDEX(FORECAST!$E$12:$E$475, MATCH(1, INDEX((ISNUMBER(SEARCH($B110, FORECAST!$A$12:$A$475))) * (INT(FORECAST!$B$12:$B$475) &lt;= AG$34) * (INT(FORECAST!$C$12:$C$475) &gt;= AG$34), 0), 0)), "")</f>
        <v xml:space="preserve">CAPACITACIÓN + WORKSHOP ROLSOL </v>
      </c>
      <c r="AH110" s="9"/>
      <c r="AI110" s="37"/>
      <c r="AJ110" s="45">
        <f t="shared" si="8"/>
        <v>0.26666666666666666</v>
      </c>
    </row>
    <row r="111" spans="1:38" x14ac:dyDescent="0.25">
      <c r="A111" s="69"/>
      <c r="B111" s="25" t="s">
        <v>9</v>
      </c>
      <c r="C111" s="36" t="str" cm="1">
        <f t="array" ref="C111">IFERROR(INDEX(FORECAST!$D$12:$D$475, MATCH(1, INDEX((ISNUMBER(SEARCH($B111, FORECAST!$A$12:$A$475))) * (INT(FORECAST!$B$12:$B$475) &lt;= C$104) * (INT(FORECAST!$C$12:$C$475) &gt;= C$104), 0), 0)), "")</f>
        <v/>
      </c>
      <c r="D111" s="36" t="str" cm="1">
        <f t="array" ref="D111">IFERROR(INDEX(FORECAST!$D$12:$D$475, MATCH(1, INDEX((ISNUMBER(SEARCH($B111, FORECAST!$A$12:$A$475))) * (INT(FORECAST!$B$12:$B$475) &lt;= D$104) * (INT(FORECAST!$C$12:$C$475) &gt;= D$104), 0), 0)), "")</f>
        <v/>
      </c>
      <c r="E111" s="36" t="str" cm="1">
        <f t="array" ref="E111">IFERROR(INDEX(FORECAST!$D$12:$D$475, MATCH(1, INDEX((ISNUMBER(SEARCH($B111, FORECAST!$A$12:$A$475))) * (INT(FORECAST!$B$12:$B$475) &lt;= E$104) * (INT(FORECAST!$C$12:$C$475) &gt;= E$104), 0), 0)), "")</f>
        <v/>
      </c>
      <c r="F111" s="36" t="str" cm="1">
        <f t="array" ref="F111">IFERROR(INDEX(FORECAST!$D$12:$D$475, MATCH(1, INDEX((ISNUMBER(SEARCH($B111, FORECAST!$A$12:$A$475))) * (INT(FORECAST!$B$12:$B$475) &lt;= F$104) * (INT(FORECAST!$C$12:$C$475) &gt;= F$104), 0), 0)), "")</f>
        <v/>
      </c>
      <c r="G111" s="36" t="str" cm="1">
        <f t="array" ref="G111">IFERROR(INDEX(FORECAST!$D$12:$D$475, MATCH(1, INDEX((ISNUMBER(SEARCH($B111, FORECAST!$A$12:$A$475))) * (INT(FORECAST!$B$12:$B$475) &lt;= G$104) * (INT(FORECAST!$C$12:$C$475) &gt;= G$104), 0), 0)), "")</f>
        <v/>
      </c>
      <c r="H111" s="36" t="str" cm="1">
        <f t="array" ref="H111">IFERROR(INDEX(FORECAST!$D$12:$D$475, MATCH(1, INDEX((ISNUMBER(SEARCH($B111, FORECAST!$A$12:$A$475))) * (INT(FORECAST!$B$12:$B$475) &lt;= H$104) * (INT(FORECAST!$C$12:$C$475) &gt;= H$104), 0), 0)), "")</f>
        <v/>
      </c>
      <c r="I111" s="36" t="str" cm="1">
        <f t="array" ref="I111">IFERROR(INDEX(FORECAST!$D$12:$D$475, MATCH(1, INDEX((ISNUMBER(SEARCH($B111, FORECAST!$A$12:$A$475))) * (INT(FORECAST!$B$12:$B$475) &lt;= I$104) * (INT(FORECAST!$C$12:$C$475) &gt;= I$104), 0), 0)), "")</f>
        <v/>
      </c>
      <c r="J111" s="36" t="str" cm="1">
        <f t="array" ref="J111">IFERROR(INDEX(FORECAST!$D$12:$D$475, MATCH(1, INDEX((ISNUMBER(SEARCH($B111, FORECAST!$A$12:$A$475))) * (INT(FORECAST!$B$12:$B$475) &lt;= J$104) * (INT(FORECAST!$C$12:$C$475) &gt;= J$104), 0), 0)), "")</f>
        <v/>
      </c>
      <c r="K111" s="36" t="str" cm="1">
        <f t="array" ref="K111">IFERROR(INDEX(FORECAST!$D$12:$D$475, MATCH(1, INDEX((ISNUMBER(SEARCH($B111, FORECAST!$A$12:$A$475))) * (INT(FORECAST!$B$12:$B$475) &lt;= K$104) * (INT(FORECAST!$C$12:$C$475) &gt;= K$104), 0), 0)), "")</f>
        <v/>
      </c>
      <c r="L111" s="36" t="str" cm="1">
        <f t="array" ref="L111">IFERROR(INDEX(FORECAST!$D$12:$D$475, MATCH(1, INDEX((ISNUMBER(SEARCH($B111, FORECAST!$A$12:$A$475))) * (INT(FORECAST!$B$12:$B$475) &lt;= L$104) * (INT(FORECAST!$C$12:$C$475) &gt;= L$104), 0), 0)), "")</f>
        <v>Tentativo</v>
      </c>
      <c r="M111" s="36" t="str" cm="1">
        <f t="array" ref="M111">IFERROR(INDEX(FORECAST!$D$12:$D$475, MATCH(1, INDEX((ISNUMBER(SEARCH($B111, FORECAST!$A$12:$A$475))) * (INT(FORECAST!$B$12:$B$475) &lt;= M$104) * (INT(FORECAST!$C$12:$C$475) &gt;= M$104), 0), 0)), "")</f>
        <v>Tentativo</v>
      </c>
      <c r="N111" s="36" t="str" cm="1">
        <f t="array" ref="N111">IFERROR(INDEX(FORECAST!$D$12:$D$475, MATCH(1, INDEX((ISNUMBER(SEARCH($B111, FORECAST!$A$12:$A$475))) * (INT(FORECAST!$B$12:$B$475) &lt;= N$104) * (INT(FORECAST!$C$12:$C$475) &gt;= N$104), 0), 0)), "")</f>
        <v>Garantizado</v>
      </c>
      <c r="O111" s="36" t="str" cm="1">
        <f t="array" ref="O111">IFERROR(INDEX(FORECAST!$D$12:$D$475, MATCH(1, INDEX((ISNUMBER(SEARCH($B111, FORECAST!$A$12:$A$475))) * (INT(FORECAST!$B$12:$B$475) &lt;= O$104) * (INT(FORECAST!$C$12:$C$475) &gt;= O$104), 0), 0)), "")</f>
        <v>Garantizado</v>
      </c>
      <c r="P111" s="36" t="str" cm="1">
        <f t="array" ref="P111">IFERROR(INDEX(FORECAST!$D$12:$D$475, MATCH(1, INDEX((ISNUMBER(SEARCH($B111, FORECAST!$A$12:$A$475))) * (INT(FORECAST!$B$12:$B$475) &lt;= P$104) * (INT(FORECAST!$C$12:$C$475) &gt;= P$104), 0), 0)), "")</f>
        <v/>
      </c>
      <c r="Q111" s="36" t="str" cm="1">
        <f t="array" ref="Q111">IFERROR(INDEX(FORECAST!$D$12:$D$475, MATCH(1, INDEX((ISNUMBER(SEARCH($B111, FORECAST!$A$12:$A$475))) * (INT(FORECAST!$B$12:$B$475) &lt;= Q$104) * (INT(FORECAST!$C$12:$C$475) &gt;= Q$104), 0), 0)), "")</f>
        <v/>
      </c>
      <c r="R111" s="36" t="str" cm="1">
        <f t="array" ref="R111">IFERROR(INDEX(FORECAST!$D$12:$D$475, MATCH(1, INDEX((ISNUMBER(SEARCH($B111, FORECAST!$A$12:$A$475))) * (INT(FORECAST!$B$12:$B$475) &lt;= R$104) * (INT(FORECAST!$C$12:$C$475) &gt;= R$104), 0), 0)), "")</f>
        <v/>
      </c>
      <c r="S111" s="36" t="str" cm="1">
        <f t="array" ref="S111">IFERROR(INDEX(FORECAST!$D$12:$D$475, MATCH(1, INDEX((ISNUMBER(SEARCH($B111, FORECAST!$A$12:$A$475))) * (INT(FORECAST!$B$12:$B$475) &lt;= S$104) * (INT(FORECAST!$C$12:$C$475) &gt;= S$104), 0), 0)), "")</f>
        <v/>
      </c>
      <c r="T111" s="36" t="str" cm="1">
        <f t="array" ref="T111">IFERROR(INDEX(FORECAST!$D$12:$D$475, MATCH(1, INDEX((ISNUMBER(SEARCH($B111, FORECAST!$A$12:$A$475))) * (INT(FORECAST!$B$12:$B$475) &lt;= T$104) * (INT(FORECAST!$C$12:$C$475) &gt;= T$104), 0), 0)), "")</f>
        <v/>
      </c>
      <c r="U111" s="36" t="str" cm="1">
        <f t="array" ref="U111">IFERROR(INDEX(FORECAST!$D$12:$D$475, MATCH(1, INDEX((ISNUMBER(SEARCH($B111, FORECAST!$A$12:$A$475))) * (INT(FORECAST!$B$12:$B$475) &lt;= U$104) * (INT(FORECAST!$C$12:$C$475) &gt;= U$104), 0), 0)), "")</f>
        <v/>
      </c>
      <c r="V111" s="36" t="str" cm="1">
        <f t="array" ref="V111">IFERROR(INDEX(FORECAST!$D$12:$D$475, MATCH(1, INDEX((ISNUMBER(SEARCH($B111, FORECAST!$A$12:$A$475))) * (INT(FORECAST!$B$12:$B$475) &lt;= V$104) * (INT(FORECAST!$C$12:$C$475) &gt;= V$104), 0), 0)), "")</f>
        <v/>
      </c>
      <c r="W111" s="36" t="str" cm="1">
        <f t="array" ref="W111">IFERROR(INDEX(FORECAST!$D$12:$D$475, MATCH(1, INDEX((ISNUMBER(SEARCH($B111, FORECAST!$A$12:$A$475))) * (INT(FORECAST!$B$12:$B$475) &lt;= W$104) * (INT(FORECAST!$C$12:$C$475) &gt;= W$104), 0), 0)), "")</f>
        <v>Garantizado</v>
      </c>
      <c r="X111" s="36" t="str" cm="1">
        <f t="array" ref="X111">IFERROR(INDEX(FORECAST!$D$12:$D$475, MATCH(1, INDEX((ISNUMBER(SEARCH($B111, FORECAST!$A$12:$A$475))) * (INT(FORECAST!$B$12:$B$475) &lt;= X$104) * (INT(FORECAST!$C$12:$C$475) &gt;= X$104), 0), 0)), "")</f>
        <v>Garantizado</v>
      </c>
      <c r="Y111" s="36" t="str" cm="1">
        <f t="array" ref="Y111">IFERROR(INDEX(FORECAST!$D$12:$D$475, MATCH(1, INDEX((ISNUMBER(SEARCH($B111, FORECAST!$A$12:$A$475))) * (INT(FORECAST!$B$12:$B$475) &lt;= Y$104) * (INT(FORECAST!$C$12:$C$475) &gt;= Y$104), 0), 0)), "")</f>
        <v>Garantizado</v>
      </c>
      <c r="Z111" s="36" t="str" cm="1">
        <f t="array" ref="Z111">IFERROR(INDEX(FORECAST!$D$12:$D$475, MATCH(1, INDEX((ISNUMBER(SEARCH($B111, FORECAST!$A$12:$A$475))) * (INT(FORECAST!$B$12:$B$475) &lt;= Z$104) * (INT(FORECAST!$C$12:$C$475) &gt;= Z$104), 0), 0)), "")</f>
        <v>Garantizado</v>
      </c>
      <c r="AA111" s="36" t="str" cm="1">
        <f t="array" ref="AA111">IFERROR(INDEX(FORECAST!$D$12:$D$475, MATCH(1, INDEX((ISNUMBER(SEARCH($B111, FORECAST!$A$12:$A$475))) * (INT(FORECAST!$B$12:$B$475) &lt;= AA$104) * (INT(FORECAST!$C$12:$C$475) &gt;= AA$104), 0), 0)), "")</f>
        <v>Garantizado</v>
      </c>
      <c r="AB111" s="36" t="str" cm="1">
        <f t="array" ref="AB111">IFERROR(INDEX(FORECAST!$D$12:$D$475, MATCH(1, INDEX((ISNUMBER(SEARCH($B111, FORECAST!$A$12:$A$475))) * (INT(FORECAST!$B$12:$B$475) &lt;= AB$104) * (INT(FORECAST!$C$12:$C$475) &gt;= AB$104), 0), 0)), "")</f>
        <v>Garantizado</v>
      </c>
      <c r="AC111" s="36" t="str" cm="1">
        <f t="array" ref="AC111">IFERROR(INDEX(FORECAST!$D$12:$D$475, MATCH(1, INDEX((ISNUMBER(SEARCH($B111, FORECAST!$A$12:$A$475))) * (INT(FORECAST!$B$12:$B$475) &lt;= AC$104) * (INT(FORECAST!$C$12:$C$475) &gt;= AC$104), 0), 0)), "")</f>
        <v/>
      </c>
      <c r="AD111" s="36" t="str" cm="1">
        <f t="array" ref="AD111">IFERROR(INDEX(FORECAST!$D$12:$D$475, MATCH(1, INDEX((ISNUMBER(SEARCH($B111, FORECAST!$A$12:$A$475))) * (INT(FORECAST!$B$12:$B$475) &lt;= AD$104) * (INT(FORECAST!$C$12:$C$475) &gt;= AD$104), 0), 0)), "")</f>
        <v/>
      </c>
      <c r="AE111" s="36" t="str" cm="1">
        <f t="array" ref="AE111">IFERROR(INDEX(FORECAST!$D$12:$D$475, MATCH(1, INDEX((ISNUMBER(SEARCH($B111, FORECAST!$A$12:$A$475))) * (INT(FORECAST!$B$12:$B$475) &lt;= AE$104) * (INT(FORECAST!$C$12:$C$475) &gt;= AE$104), 0), 0)), "")</f>
        <v>Tentativo</v>
      </c>
      <c r="AF111" s="36" t="str" cm="1">
        <f t="array" ref="AF111">IFERROR(INDEX(FORECAST!$D$12:$D$475, MATCH(1, INDEX((ISNUMBER(SEARCH($B111, FORECAST!$A$12:$A$475))) * (INT(FORECAST!$B$12:$B$475) &lt;= AF$104) * (INT(FORECAST!$C$12:$C$475) &gt;= AF$104), 0), 0)), "")</f>
        <v>Tentativo</v>
      </c>
      <c r="AG111" s="10" t="str" cm="1">
        <f t="array" ref="AG111">IFERROR(INDEX(FORECAST!$E$12:$E$475, MATCH(1, INDEX((ISNUMBER(SEARCH($B111, FORECAST!$A$12:$A$475))) * (INT(FORECAST!$B$12:$B$475) &lt;= AG$34) * (INT(FORECAST!$C$12:$C$475) &gt;= AG$34), 0), 0)), "")</f>
        <v/>
      </c>
      <c r="AH111" s="9"/>
      <c r="AI111" s="2"/>
      <c r="AJ111" s="45">
        <f t="shared" si="8"/>
        <v>0.26666666666666666</v>
      </c>
    </row>
    <row r="112" spans="1:38" x14ac:dyDescent="0.25">
      <c r="A112" s="69"/>
      <c r="B112" s="25" t="s">
        <v>80</v>
      </c>
      <c r="C112" s="36" t="str" cm="1">
        <f t="array" ref="C112">IFERROR(INDEX(FORECAST!$D$12:$D$475, MATCH(1, INDEX((ISNUMBER(SEARCH($B112, FORECAST!$A$12:$A$475))) * (INT(FORECAST!$B$12:$B$475) &lt;= C$104) * (INT(FORECAST!$C$12:$C$475) &gt;= C$104), 0), 0)), "")</f>
        <v/>
      </c>
      <c r="D112" s="36" t="str" cm="1">
        <f t="array" ref="D112">IFERROR(INDEX(FORECAST!$D$12:$D$475, MATCH(1, INDEX((ISNUMBER(SEARCH($B112, FORECAST!$A$12:$A$475))) * (INT(FORECAST!$B$12:$B$475) &lt;= D$104) * (INT(FORECAST!$C$12:$C$475) &gt;= D$104), 0), 0)), "")</f>
        <v/>
      </c>
      <c r="E112" s="36" t="str" cm="1">
        <f t="array" ref="E112">IFERROR(INDEX(FORECAST!$D$12:$D$475, MATCH(1, INDEX((ISNUMBER(SEARCH($B112, FORECAST!$A$12:$A$475))) * (INT(FORECAST!$B$12:$B$475) &lt;= E$104) * (INT(FORECAST!$C$12:$C$475) &gt;= E$104), 0), 0)), "")</f>
        <v/>
      </c>
      <c r="F112" s="36" t="str" cm="1">
        <f t="array" ref="F112">IFERROR(INDEX(FORECAST!$D$12:$D$475, MATCH(1, INDEX((ISNUMBER(SEARCH($B112, FORECAST!$A$12:$A$475))) * (INT(FORECAST!$B$12:$B$475) &lt;= F$104) * (INT(FORECAST!$C$12:$C$475) &gt;= F$104), 0), 0)), "")</f>
        <v/>
      </c>
      <c r="G112" s="36" t="str" cm="1">
        <f t="array" ref="G112">IFERROR(INDEX(FORECAST!$D$12:$D$475, MATCH(1, INDEX((ISNUMBER(SEARCH($B112, FORECAST!$A$12:$A$475))) * (INT(FORECAST!$B$12:$B$475) &lt;= G$104) * (INT(FORECAST!$C$12:$C$475) &gt;= G$104), 0), 0)), "")</f>
        <v/>
      </c>
      <c r="H112" s="36" t="str" cm="1">
        <f t="array" ref="H112">IFERROR(INDEX(FORECAST!$D$12:$D$475, MATCH(1, INDEX((ISNUMBER(SEARCH($B112, FORECAST!$A$12:$A$475))) * (INT(FORECAST!$B$12:$B$475) &lt;= H$104) * (INT(FORECAST!$C$12:$C$475) &gt;= H$104), 0), 0)), "")</f>
        <v/>
      </c>
      <c r="I112" s="36" t="str" cm="1">
        <f t="array" ref="I112">IFERROR(INDEX(FORECAST!$D$12:$D$475, MATCH(1, INDEX((ISNUMBER(SEARCH($B112, FORECAST!$A$12:$A$475))) * (INT(FORECAST!$B$12:$B$475) &lt;= I$104) * (INT(FORECAST!$C$12:$C$475) &gt;= I$104), 0), 0)), "")</f>
        <v/>
      </c>
      <c r="J112" s="36" t="str" cm="1">
        <f t="array" ref="J112">IFERROR(INDEX(FORECAST!$D$12:$D$475, MATCH(1, INDEX((ISNUMBER(SEARCH($B112, FORECAST!$A$12:$A$475))) * (INT(FORECAST!$B$12:$B$475) &lt;= J$104) * (INT(FORECAST!$C$12:$C$475) &gt;= J$104), 0), 0)), "")</f>
        <v/>
      </c>
      <c r="K112" s="36" t="str" cm="1">
        <f t="array" ref="K112">IFERROR(INDEX(FORECAST!$D$12:$D$475, MATCH(1, INDEX((ISNUMBER(SEARCH($B112, FORECAST!$A$12:$A$475))) * (INT(FORECAST!$B$12:$B$475) &lt;= K$104) * (INT(FORECAST!$C$12:$C$475) &gt;= K$104), 0), 0)), "")</f>
        <v/>
      </c>
      <c r="L112" s="36" t="str" cm="1">
        <f t="array" ref="L112">IFERROR(INDEX(FORECAST!$D$12:$D$475, MATCH(1, INDEX((ISNUMBER(SEARCH($B112, FORECAST!$A$12:$A$475))) * (INT(FORECAST!$B$12:$B$475) &lt;= L$104) * (INT(FORECAST!$C$12:$C$475) &gt;= L$104), 0), 0)), "")</f>
        <v/>
      </c>
      <c r="M112" s="36" t="str" cm="1">
        <f t="array" ref="M112">IFERROR(INDEX(FORECAST!$D$12:$D$475, MATCH(1, INDEX((ISNUMBER(SEARCH($B112, FORECAST!$A$12:$A$475))) * (INT(FORECAST!$B$12:$B$475) &lt;= M$104) * (INT(FORECAST!$C$12:$C$475) &gt;= M$104), 0), 0)), "")</f>
        <v/>
      </c>
      <c r="N112" s="36" t="str" cm="1">
        <f t="array" ref="N112">IFERROR(INDEX(FORECAST!$D$12:$D$475, MATCH(1, INDEX((ISNUMBER(SEARCH($B112, FORECAST!$A$12:$A$475))) * (INT(FORECAST!$B$12:$B$475) &lt;= N$104) * (INT(FORECAST!$C$12:$C$475) &gt;= N$104), 0), 0)), "")</f>
        <v/>
      </c>
      <c r="O112" s="36" t="str" cm="1">
        <f t="array" ref="O112">IFERROR(INDEX(FORECAST!$D$12:$D$475, MATCH(1, INDEX((ISNUMBER(SEARCH($B112, FORECAST!$A$12:$A$475))) * (INT(FORECAST!$B$12:$B$475) &lt;= O$104) * (INT(FORECAST!$C$12:$C$475) &gt;= O$104), 0), 0)), "")</f>
        <v/>
      </c>
      <c r="P112" s="36" t="str" cm="1">
        <f t="array" ref="P112">IFERROR(INDEX(FORECAST!$D$12:$D$475, MATCH(1, INDEX((ISNUMBER(SEARCH($B112, FORECAST!$A$12:$A$475))) * (INT(FORECAST!$B$12:$B$475) &lt;= P$104) * (INT(FORECAST!$C$12:$C$475) &gt;= P$104), 0), 0)), "")</f>
        <v/>
      </c>
      <c r="Q112" s="36" t="str" cm="1">
        <f t="array" ref="Q112">IFERROR(INDEX(FORECAST!$D$12:$D$475, MATCH(1, INDEX((ISNUMBER(SEARCH($B112, FORECAST!$A$12:$A$475))) * (INT(FORECAST!$B$12:$B$475) &lt;= Q$104) * (INT(FORECAST!$C$12:$C$475) &gt;= Q$104), 0), 0)), "")</f>
        <v/>
      </c>
      <c r="R112" s="36" t="str" cm="1">
        <f t="array" ref="R112">IFERROR(INDEX(FORECAST!$D$12:$D$475, MATCH(1, INDEX((ISNUMBER(SEARCH($B112, FORECAST!$A$12:$A$475))) * (INT(FORECAST!$B$12:$B$475) &lt;= R$104) * (INT(FORECAST!$C$12:$C$475) &gt;= R$104), 0), 0)), "")</f>
        <v/>
      </c>
      <c r="S112" s="36" t="str" cm="1">
        <f t="array" ref="S112">IFERROR(INDEX(FORECAST!$D$12:$D$475, MATCH(1, INDEX((ISNUMBER(SEARCH($B112, FORECAST!$A$12:$A$475))) * (INT(FORECAST!$B$12:$B$475) &lt;= S$104) * (INT(FORECAST!$C$12:$C$475) &gt;= S$104), 0), 0)), "")</f>
        <v/>
      </c>
      <c r="T112" s="36" t="str" cm="1">
        <f t="array" ref="T112">IFERROR(INDEX(FORECAST!$D$12:$D$475, MATCH(1, INDEX((ISNUMBER(SEARCH($B112, FORECAST!$A$12:$A$475))) * (INT(FORECAST!$B$12:$B$475) &lt;= T$104) * (INT(FORECAST!$C$12:$C$475) &gt;= T$104), 0), 0)), "")</f>
        <v/>
      </c>
      <c r="U112" s="36" t="str" cm="1">
        <f t="array" ref="U112">IFERROR(INDEX(FORECAST!$D$12:$D$475, MATCH(1, INDEX((ISNUMBER(SEARCH($B112, FORECAST!$A$12:$A$475))) * (INT(FORECAST!$B$12:$B$475) &lt;= U$104) * (INT(FORECAST!$C$12:$C$475) &gt;= U$104), 0), 0)), "")</f>
        <v/>
      </c>
      <c r="V112" s="36" t="str" cm="1">
        <f t="array" ref="V112">IFERROR(INDEX(FORECAST!$D$12:$D$475, MATCH(1, INDEX((ISNUMBER(SEARCH($B112, FORECAST!$A$12:$A$475))) * (INT(FORECAST!$B$12:$B$475) &lt;= V$104) * (INT(FORECAST!$C$12:$C$475) &gt;= V$104), 0), 0)), "")</f>
        <v/>
      </c>
      <c r="W112" s="36" t="str" cm="1">
        <f t="array" ref="W112">IFERROR(INDEX(FORECAST!$D$12:$D$475, MATCH(1, INDEX((ISNUMBER(SEARCH($B112, FORECAST!$A$12:$A$475))) * (INT(FORECAST!$B$12:$B$475) &lt;= W$104) * (INT(FORECAST!$C$12:$C$475) &gt;= W$104), 0), 0)), "")</f>
        <v>Garantizado</v>
      </c>
      <c r="X112" s="36" t="str" cm="1">
        <f t="array" ref="X112">IFERROR(INDEX(FORECAST!$D$12:$D$475, MATCH(1, INDEX((ISNUMBER(SEARCH($B112, FORECAST!$A$12:$A$475))) * (INT(FORECAST!$B$12:$B$475) &lt;= X$104) * (INT(FORECAST!$C$12:$C$475) &gt;= X$104), 0), 0)), "")</f>
        <v>Garantizado</v>
      </c>
      <c r="Y112" s="36" t="str" cm="1">
        <f t="array" ref="Y112">IFERROR(INDEX(FORECAST!$D$12:$D$475, MATCH(1, INDEX((ISNUMBER(SEARCH($B112, FORECAST!$A$12:$A$475))) * (INT(FORECAST!$B$12:$B$475) &lt;= Y$104) * (INT(FORECAST!$C$12:$C$475) &gt;= Y$104), 0), 0)), "")</f>
        <v>Garantizado</v>
      </c>
      <c r="Z112" s="36" t="str" cm="1">
        <f t="array" ref="Z112">IFERROR(INDEX(FORECAST!$D$12:$D$475, MATCH(1, INDEX((ISNUMBER(SEARCH($B112, FORECAST!$A$12:$A$475))) * (INT(FORECAST!$B$12:$B$475) &lt;= Z$104) * (INT(FORECAST!$C$12:$C$475) &gt;= Z$104), 0), 0)), "")</f>
        <v>Garantizado</v>
      </c>
      <c r="AA112" s="36" t="str" cm="1">
        <f t="array" ref="AA112">IFERROR(INDEX(FORECAST!$D$12:$D$475, MATCH(1, INDEX((ISNUMBER(SEARCH($B112, FORECAST!$A$12:$A$475))) * (INT(FORECAST!$B$12:$B$475) &lt;= AA$104) * (INT(FORECAST!$C$12:$C$475) &gt;= AA$104), 0), 0)), "")</f>
        <v>Garantizado</v>
      </c>
      <c r="AB112" s="36" t="str" cm="1">
        <f t="array" ref="AB112">IFERROR(INDEX(FORECAST!$D$12:$D$475, MATCH(1, INDEX((ISNUMBER(SEARCH($B112, FORECAST!$A$12:$A$475))) * (INT(FORECAST!$B$12:$B$475) &lt;= AB$104) * (INT(FORECAST!$C$12:$C$475) &gt;= AB$104), 0), 0)), "")</f>
        <v>Garantizado</v>
      </c>
      <c r="AC112" s="36" t="str" cm="1">
        <f t="array" ref="AC112">IFERROR(INDEX(FORECAST!$D$12:$D$475, MATCH(1, INDEX((ISNUMBER(SEARCH($B112, FORECAST!$A$12:$A$475))) * (INT(FORECAST!$B$12:$B$475) &lt;= AC$104) * (INT(FORECAST!$C$12:$C$475) &gt;= AC$104), 0), 0)), "")</f>
        <v/>
      </c>
      <c r="AD112" s="36" t="str" cm="1">
        <f t="array" ref="AD112">IFERROR(INDEX(FORECAST!$D$12:$D$475, MATCH(1, INDEX((ISNUMBER(SEARCH($B112, FORECAST!$A$12:$A$475))) * (INT(FORECAST!$B$12:$B$475) &lt;= AD$104) * (INT(FORECAST!$C$12:$C$475) &gt;= AD$104), 0), 0)), "")</f>
        <v/>
      </c>
      <c r="AE112" s="36" t="str" cm="1">
        <f t="array" ref="AE112">IFERROR(INDEX(FORECAST!$D$12:$D$475, MATCH(1, INDEX((ISNUMBER(SEARCH($B112, FORECAST!$A$12:$A$475))) * (INT(FORECAST!$B$12:$B$475) &lt;= AE$104) * (INT(FORECAST!$C$12:$C$475) &gt;= AE$104), 0), 0)), "")</f>
        <v/>
      </c>
      <c r="AF112" s="36" t="str" cm="1">
        <f t="array" ref="AF112">IFERROR(INDEX(FORECAST!$D$12:$D$475, MATCH(1, INDEX((ISNUMBER(SEARCH($B112, FORECAST!$A$12:$A$475))) * (INT(FORECAST!$B$12:$B$475) &lt;= AF$104) * (INT(FORECAST!$C$12:$C$475) &gt;= AF$104), 0), 0)), "")</f>
        <v/>
      </c>
      <c r="AG112" s="9"/>
      <c r="AH112" s="9"/>
      <c r="AI112" s="2"/>
      <c r="AJ112" s="45">
        <f t="shared" si="8"/>
        <v>0.2</v>
      </c>
    </row>
    <row r="113" spans="1:38" x14ac:dyDescent="0.25">
      <c r="AE113" s="9" t="str" cm="1">
        <f t="array" ref="AE113">IFERROR(INDEX(FORECAST!$E$12:$E$475, MATCH(1, INDEX((ISNUMBER(SEARCH($C113, FORECAST!$A$12:$A$475))) * (FORECAST!$B$12:$B$475 &lt;= AE$37) * (FORECAST!$C$12:$C$475 &gt;= AE$37), 0), 0)), "")</f>
        <v/>
      </c>
      <c r="AF113" s="9" t="str" cm="1">
        <f t="array" ref="AF113">IFERROR(INDEX(FORECAST!$E$12:$E$475, MATCH(1, INDEX((ISNUMBER(SEARCH($C113, FORECAST!$A$12:$A$475))) * (FORECAST!$B$12:$B$475 &lt;= AF$37) * (FORECAST!$C$12:$C$475 &gt;= AF$37), 0), 0)), "")</f>
        <v/>
      </c>
      <c r="AG113" s="9" t="str" cm="1">
        <f t="array" ref="AG113">IFERROR(INDEX(FORECAST!$E$12:$E$475, MATCH(1, INDEX((ISNUMBER(SEARCH($C113, FORECAST!$A$12:$A$475))) * (FORECAST!$B$12:$B$475 &lt;= AG$37) * (FORECAST!$C$12:$C$475 &gt;= AG$37), 0), 0)), "")</f>
        <v/>
      </c>
      <c r="AH113" s="9"/>
      <c r="AI113" s="2"/>
    </row>
    <row r="114" spans="1:38" x14ac:dyDescent="0.25">
      <c r="B114" s="2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9"/>
      <c r="AF114" s="9"/>
      <c r="AG114" s="9"/>
      <c r="AH114" s="9"/>
      <c r="AI114" s="2"/>
    </row>
    <row r="115" spans="1:38" x14ac:dyDescent="0.25">
      <c r="C115" s="1" t="s">
        <v>502</v>
      </c>
      <c r="D115" s="1" t="s">
        <v>503</v>
      </c>
      <c r="E115" s="7" t="s">
        <v>504</v>
      </c>
      <c r="F115" s="7" t="s">
        <v>505</v>
      </c>
      <c r="G115" s="1" t="s">
        <v>506</v>
      </c>
      <c r="H115" s="1" t="s">
        <v>507</v>
      </c>
      <c r="I115" s="1" t="s">
        <v>508</v>
      </c>
      <c r="J115" s="1" t="s">
        <v>502</v>
      </c>
      <c r="K115" s="1" t="s">
        <v>503</v>
      </c>
      <c r="L115" s="7" t="s">
        <v>504</v>
      </c>
      <c r="M115" s="7" t="s">
        <v>505</v>
      </c>
      <c r="N115" s="13" t="s">
        <v>506</v>
      </c>
      <c r="O115" s="1" t="s">
        <v>507</v>
      </c>
      <c r="P115" s="1" t="s">
        <v>508</v>
      </c>
      <c r="Q115" s="1" t="s">
        <v>502</v>
      </c>
      <c r="R115" s="1" t="s">
        <v>503</v>
      </c>
      <c r="S115" s="7" t="s">
        <v>509</v>
      </c>
      <c r="T115" s="7" t="s">
        <v>510</v>
      </c>
      <c r="U115" s="1" t="s">
        <v>511</v>
      </c>
      <c r="V115" s="16" t="s">
        <v>512</v>
      </c>
      <c r="W115" s="1" t="s">
        <v>513</v>
      </c>
      <c r="X115" s="1" t="s">
        <v>514</v>
      </c>
      <c r="Y115" s="1" t="s">
        <v>515</v>
      </c>
      <c r="Z115" s="7" t="s">
        <v>509</v>
      </c>
      <c r="AA115" s="7" t="s">
        <v>510</v>
      </c>
      <c r="AB115" s="1" t="s">
        <v>511</v>
      </c>
      <c r="AC115" s="16" t="s">
        <v>512</v>
      </c>
      <c r="AD115" s="1" t="s">
        <v>513</v>
      </c>
      <c r="AE115" s="1" t="s">
        <v>514</v>
      </c>
      <c r="AF115" s="1" t="s">
        <v>515</v>
      </c>
      <c r="AG115" s="7" t="s">
        <v>509</v>
      </c>
      <c r="AH115" s="9"/>
      <c r="AI115" s="2"/>
    </row>
    <row r="116" spans="1:38" x14ac:dyDescent="0.25">
      <c r="C116" s="61">
        <v>46296</v>
      </c>
      <c r="D116" s="61">
        <v>46297</v>
      </c>
      <c r="E116" s="61">
        <v>46298</v>
      </c>
      <c r="F116" s="61">
        <v>46299</v>
      </c>
      <c r="G116" s="61">
        <v>46300</v>
      </c>
      <c r="H116" s="61">
        <v>46301</v>
      </c>
      <c r="I116" s="61">
        <v>46302</v>
      </c>
      <c r="J116" s="61">
        <v>46303</v>
      </c>
      <c r="K116" s="61">
        <v>46304</v>
      </c>
      <c r="L116" s="61">
        <v>46305</v>
      </c>
      <c r="M116" s="61">
        <v>46306</v>
      </c>
      <c r="N116" s="61">
        <v>46307</v>
      </c>
      <c r="O116" s="61">
        <v>46308</v>
      </c>
      <c r="P116" s="61">
        <v>46309</v>
      </c>
      <c r="Q116" s="61">
        <v>46310</v>
      </c>
      <c r="R116" s="61">
        <v>46311</v>
      </c>
      <c r="S116" s="61">
        <v>46312</v>
      </c>
      <c r="T116" s="61">
        <v>46313</v>
      </c>
      <c r="U116" s="61">
        <v>46314</v>
      </c>
      <c r="V116" s="61">
        <v>46315</v>
      </c>
      <c r="W116" s="61">
        <v>46316</v>
      </c>
      <c r="X116" s="61">
        <v>46317</v>
      </c>
      <c r="Y116" s="61">
        <v>46318</v>
      </c>
      <c r="Z116" s="61">
        <v>46319</v>
      </c>
      <c r="AA116" s="61">
        <v>46320</v>
      </c>
      <c r="AB116" s="61">
        <v>46321</v>
      </c>
      <c r="AC116" s="61">
        <v>46322</v>
      </c>
      <c r="AD116" s="61">
        <v>46323</v>
      </c>
      <c r="AE116" s="61">
        <v>46324</v>
      </c>
      <c r="AF116" s="61">
        <v>46325</v>
      </c>
      <c r="AG116" s="61">
        <v>46326</v>
      </c>
      <c r="AH116" s="9"/>
      <c r="AI116" s="2"/>
      <c r="AJ116" s="22" t="s">
        <v>516</v>
      </c>
    </row>
    <row r="117" spans="1:38" ht="15" customHeight="1" x14ac:dyDescent="0.25">
      <c r="A117" s="70" t="s">
        <v>533</v>
      </c>
      <c r="B117" s="26" t="s">
        <v>518</v>
      </c>
      <c r="C117" s="34" t="str" cm="1">
        <f t="array" ref="C117">IFERROR(INDEX(FORECAST!$D$12:$D$475, MATCH(1, INDEX((ISNUMBER(SEARCH($B117, FORECAST!$A$12:$A$475))) * (INT(FORECAST!$B$12:$B$475) &lt;= C$116) * (INT(FORECAST!$C$12:$C$475) &gt;= C$116), 0), 0)), "")</f>
        <v>Garantizado</v>
      </c>
      <c r="D117" s="34" t="str" cm="1">
        <f t="array" ref="D117">IFERROR(INDEX(FORECAST!$D$12:$D$475, MATCH(1, INDEX((ISNUMBER(SEARCH($B117, FORECAST!$A$12:$A$475))) * (INT(FORECAST!$B$12:$B$475) &lt;= D$116) * (INT(FORECAST!$C$12:$C$475) &gt;= D$116), 0), 0)), "")</f>
        <v>Garantizado</v>
      </c>
      <c r="E117" s="34" t="str" cm="1">
        <f t="array" ref="E117">IFERROR(INDEX(FORECAST!$D$12:$D$475, MATCH(1, INDEX((ISNUMBER(SEARCH($B117, FORECAST!$A$12:$A$475))) * (INT(FORECAST!$B$12:$B$475) &lt;= E$116) * (INT(FORECAST!$C$12:$C$475) &gt;= E$116), 0), 0)), "")</f>
        <v>Garantizado</v>
      </c>
      <c r="F117" s="34" t="str" cm="1">
        <f t="array" ref="F117">IFERROR(INDEX(FORECAST!$D$12:$D$475, MATCH(1, INDEX((ISNUMBER(SEARCH($B117, FORECAST!$A$12:$A$475))) * (INT(FORECAST!$B$12:$B$475) &lt;= F$116) * (INT(FORECAST!$C$12:$C$475) &gt;= F$116), 0), 0)), "")</f>
        <v/>
      </c>
      <c r="G117" s="34" t="str" cm="1">
        <f t="array" ref="G117">IFERROR(INDEX(FORECAST!$D$12:$D$475, MATCH(1, INDEX((ISNUMBER(SEARCH($B117, FORECAST!$A$12:$A$475))) * (INT(FORECAST!$B$12:$B$475) &lt;= G$116) * (INT(FORECAST!$C$12:$C$475) &gt;= G$116), 0), 0)), "")</f>
        <v/>
      </c>
      <c r="H117" s="34" t="str" cm="1">
        <f t="array" ref="H117">IFERROR(INDEX(FORECAST!$D$12:$D$475, MATCH(1, INDEX((ISNUMBER(SEARCH($B117, FORECAST!$A$12:$A$475))) * (INT(FORECAST!$B$12:$B$475) &lt;= H$116) * (INT(FORECAST!$C$12:$C$475) &gt;= H$116), 0), 0)), "")</f>
        <v/>
      </c>
      <c r="I117" s="34" t="str" cm="1">
        <f t="array" ref="I117">IFERROR(INDEX(FORECAST!$D$12:$D$475, MATCH(1, INDEX((ISNUMBER(SEARCH($B117, FORECAST!$A$12:$A$475))) * (INT(FORECAST!$B$12:$B$475) &lt;= I$116) * (INT(FORECAST!$C$12:$C$475) &gt;= I$116), 0), 0)), "")</f>
        <v>Tentativo</v>
      </c>
      <c r="J117" s="34" t="str" cm="1">
        <f t="array" ref="J117">IFERROR(INDEX(FORECAST!$D$12:$D$475, MATCH(1, INDEX((ISNUMBER(SEARCH($B117, FORECAST!$A$12:$A$475))) * (INT(FORECAST!$B$12:$B$475) &lt;= J$116) * (INT(FORECAST!$C$12:$C$475) &gt;= J$116), 0), 0)), "")</f>
        <v/>
      </c>
      <c r="K117" s="34" t="str" cm="1">
        <f t="array" ref="K117">IFERROR(INDEX(FORECAST!$D$12:$D$475, MATCH(1, INDEX((ISNUMBER(SEARCH($B117, FORECAST!$A$12:$A$475))) * (INT(FORECAST!$B$12:$B$475) &lt;= K$116) * (INT(FORECAST!$C$12:$C$475) &gt;= K$116), 0), 0)), "")</f>
        <v/>
      </c>
      <c r="L117" s="34" t="str" cm="1">
        <f t="array" ref="L117">IFERROR(INDEX(FORECAST!$D$12:$D$475, MATCH(1, INDEX((ISNUMBER(SEARCH($B117, FORECAST!$A$12:$A$475))) * (INT(FORECAST!$B$12:$B$475) &lt;= L$116) * (INT(FORECAST!$C$12:$C$475) &gt;= L$116), 0), 0)), "")</f>
        <v/>
      </c>
      <c r="M117" s="34" t="str" cm="1">
        <f t="array" ref="M117">IFERROR(INDEX(FORECAST!$D$12:$D$475, MATCH(1, INDEX((ISNUMBER(SEARCH($B117, FORECAST!$A$12:$A$475))) * (INT(FORECAST!$B$12:$B$475) &lt;= M$116) * (INT(FORECAST!$C$12:$C$475) &gt;= M$116), 0), 0)), "")</f>
        <v>Tentativo</v>
      </c>
      <c r="N117" s="34" t="str" cm="1">
        <f t="array" ref="N117">IFERROR(INDEX(FORECAST!$D$12:$D$475, MATCH(1, INDEX((ISNUMBER(SEARCH($B117, FORECAST!$A$12:$A$475))) * (INT(FORECAST!$B$12:$B$475) &lt;= N$116) * (INT(FORECAST!$C$12:$C$475) &gt;= N$116), 0), 0)), "")</f>
        <v>Tentativo</v>
      </c>
      <c r="O117" s="34" t="str" cm="1">
        <f t="array" ref="O117">IFERROR(INDEX(FORECAST!$D$12:$D$475, MATCH(1, INDEX((ISNUMBER(SEARCH($B117, FORECAST!$A$12:$A$475))) * (INT(FORECAST!$B$12:$B$475) &lt;= O$116) * (INT(FORECAST!$C$12:$C$475) &gt;= O$116), 0), 0)), "")</f>
        <v>Tentativo</v>
      </c>
      <c r="P117" s="34" t="str" cm="1">
        <f t="array" ref="P117">IFERROR(INDEX(FORECAST!$D$12:$D$475, MATCH(1, INDEX((ISNUMBER(SEARCH($B117, FORECAST!$A$12:$A$475))) * (INT(FORECAST!$B$12:$B$475) &lt;= P$116) * (INT(FORECAST!$C$12:$C$475) &gt;= P$116), 0), 0)), "")</f>
        <v>Tentativo</v>
      </c>
      <c r="Q117" s="34" t="str" cm="1">
        <f t="array" ref="Q117">IFERROR(INDEX(FORECAST!$D$12:$D$475, MATCH(1, INDEX((ISNUMBER(SEARCH($B117, FORECAST!$A$12:$A$475))) * (INT(FORECAST!$B$12:$B$475) &lt;= Q$116) * (INT(FORECAST!$C$12:$C$475) &gt;= Q$116), 0), 0)), "")</f>
        <v>Tentativo</v>
      </c>
      <c r="R117" s="34" t="str" cm="1">
        <f t="array" ref="R117">IFERROR(INDEX(FORECAST!$D$12:$D$475, MATCH(1, INDEX((ISNUMBER(SEARCH($B117, FORECAST!$A$12:$A$475))) * (INT(FORECAST!$B$12:$B$475) &lt;= R$116) * (INT(FORECAST!$C$12:$C$475) &gt;= R$116), 0), 0)), "")</f>
        <v>Tentativo</v>
      </c>
      <c r="S117" s="34" t="str" cm="1">
        <f t="array" ref="S117">IFERROR(INDEX(FORECAST!$D$12:$D$475, MATCH(1, INDEX((ISNUMBER(SEARCH($B117, FORECAST!$A$12:$A$475))) * (INT(FORECAST!$B$12:$B$475) &lt;= S$116) * (INT(FORECAST!$C$12:$C$475) &gt;= S$116), 0), 0)), "")</f>
        <v>Tentativo</v>
      </c>
      <c r="T117" s="34" t="str" cm="1">
        <f t="array" ref="T117">IFERROR(INDEX(FORECAST!$D$12:$D$475, MATCH(1, INDEX((ISNUMBER(SEARCH($B117, FORECAST!$A$12:$A$475))) * (INT(FORECAST!$B$12:$B$475) &lt;= T$116) * (INT(FORECAST!$C$12:$C$475) &gt;= T$116), 0), 0)), "")</f>
        <v>Tentativo</v>
      </c>
      <c r="U117" s="34" t="str" cm="1">
        <f t="array" ref="U117">IFERROR(INDEX(FORECAST!$D$12:$D$475, MATCH(1, INDEX((ISNUMBER(SEARCH($B117, FORECAST!$A$12:$A$475))) * (INT(FORECAST!$B$12:$B$475) &lt;= U$116) * (INT(FORECAST!$C$12:$C$475) &gt;= U$116), 0), 0)), "")</f>
        <v/>
      </c>
      <c r="V117" s="34" t="str" cm="1">
        <f t="array" ref="V117">IFERROR(INDEX(FORECAST!$D$12:$D$475, MATCH(1, INDEX((ISNUMBER(SEARCH($B117, FORECAST!$A$12:$A$475))) * (INT(FORECAST!$B$12:$B$475) &lt;= V$116) * (INT(FORECAST!$C$12:$C$475) &gt;= V$116), 0), 0)), "")</f>
        <v/>
      </c>
      <c r="W117" s="34" t="str" cm="1">
        <f t="array" ref="W117">IFERROR(INDEX(FORECAST!$D$12:$D$475, MATCH(1, INDEX((ISNUMBER(SEARCH($B117, FORECAST!$A$12:$A$475))) * (INT(FORECAST!$B$12:$B$475) &lt;= W$116) * (INT(FORECAST!$C$12:$C$475) &gt;= W$116), 0), 0)), "")</f>
        <v>Garantizado</v>
      </c>
      <c r="X117" s="34" t="str" cm="1">
        <f t="array" ref="X117">IFERROR(INDEX(FORECAST!$D$12:$D$475, MATCH(1, INDEX((ISNUMBER(SEARCH($B117, FORECAST!$A$12:$A$475))) * (INT(FORECAST!$B$12:$B$475) &lt;= X$116) * (INT(FORECAST!$C$12:$C$475) &gt;= X$116), 0), 0)), "")</f>
        <v>Garantizado</v>
      </c>
      <c r="Y117" s="34" t="str" cm="1">
        <f t="array" ref="Y117">IFERROR(INDEX(FORECAST!$D$12:$D$475, MATCH(1, INDEX((ISNUMBER(SEARCH($B117, FORECAST!$A$12:$A$475))) * (INT(FORECAST!$B$12:$B$475) &lt;= Y$116) * (INT(FORECAST!$C$12:$C$475) &gt;= Y$116), 0), 0)), "")</f>
        <v>Garantizado</v>
      </c>
      <c r="Z117" s="34" t="str" cm="1">
        <f t="array" ref="Z117">IFERROR(INDEX(FORECAST!$D$12:$D$475, MATCH(1, INDEX((ISNUMBER(SEARCH($B117, FORECAST!$A$12:$A$475))) * (INT(FORECAST!$B$12:$B$475) &lt;= Z$116) * (INT(FORECAST!$C$12:$C$475) &gt;= Z$116), 0), 0)), "")</f>
        <v>Garantizado</v>
      </c>
      <c r="AA117" s="34" t="str" cm="1">
        <f t="array" ref="AA117">IFERROR(INDEX(FORECAST!$D$12:$D$475, MATCH(1, INDEX((ISNUMBER(SEARCH($B117, FORECAST!$A$12:$A$475))) * (INT(FORECAST!$B$12:$B$475) &lt;= AA$116) * (INT(FORECAST!$C$12:$C$475) &gt;= AA$116), 0), 0)), "")</f>
        <v>Tentativo</v>
      </c>
      <c r="AB117" s="34" t="str" cm="1">
        <f t="array" ref="AB117">IFERROR(INDEX(FORECAST!$D$12:$D$475, MATCH(1, INDEX((ISNUMBER(SEARCH($B117, FORECAST!$A$12:$A$475))) * (INT(FORECAST!$B$12:$B$475) &lt;= AB$116) * (INT(FORECAST!$C$12:$C$475) &gt;= AB$116), 0), 0)), "")</f>
        <v>Presupuesto</v>
      </c>
      <c r="AC117" s="34" t="str" cm="1">
        <f t="array" ref="AC117">IFERROR(INDEX(FORECAST!$D$12:$D$475, MATCH(1, INDEX((ISNUMBER(SEARCH($B117, FORECAST!$A$12:$A$475))) * (INT(FORECAST!$B$12:$B$475) &lt;= AC$116) * (INT(FORECAST!$C$12:$C$475) &gt;= AC$116), 0), 0)), "")</f>
        <v/>
      </c>
      <c r="AD117" s="34" t="str" cm="1">
        <f t="array" ref="AD117">IFERROR(INDEX(FORECAST!$D$12:$D$475, MATCH(1, INDEX((ISNUMBER(SEARCH($B117, FORECAST!$A$12:$A$475))) * (INT(FORECAST!$B$12:$B$475) &lt;= AD$116) * (INT(FORECAST!$C$12:$C$475) &gt;= AD$116), 0), 0)), "")</f>
        <v>Garantizado</v>
      </c>
      <c r="AE117" s="34" t="str" cm="1">
        <f t="array" ref="AE117">IFERROR(INDEX(FORECAST!$D$12:$D$475, MATCH(1, INDEX((ISNUMBER(SEARCH($B117, FORECAST!$A$12:$A$475))) * (INT(FORECAST!$B$12:$B$475) &lt;= AE$116) * (INT(FORECAST!$C$12:$C$475) &gt;= AE$116), 0), 0)), "")</f>
        <v>Garantizado</v>
      </c>
      <c r="AF117" s="34" t="str" cm="1">
        <f t="array" ref="AF117">IFERROR(INDEX(FORECAST!$D$12:$D$475, MATCH(1, INDEX((ISNUMBER(SEARCH($B117, FORECAST!$A$12:$A$475))) * (INT(FORECAST!$B$12:$B$475) &lt;= AF$116) * (INT(FORECAST!$C$12:$C$475) &gt;= AF$116), 0), 0)), "")</f>
        <v>Garantizado</v>
      </c>
      <c r="AG117" s="34" t="str" cm="1">
        <f t="array" ref="AG117">IFERROR(INDEX(FORECAST!$D$12:$D$475, MATCH(1, INDEX((ISNUMBER(SEARCH($B117, FORECAST!$A$12:$A$475))) * (INT(FORECAST!$B$12:$B$475) &lt;= AG$116) * (INT(FORECAST!$C$12:$C$475) &gt;= AG$116), 0), 0)), "")</f>
        <v>Garantizado</v>
      </c>
      <c r="AH117" s="9"/>
      <c r="AI117" s="2"/>
      <c r="AJ117" s="45">
        <f>COUNTIF(C117:AG117,"Garantizado")/31</f>
        <v>0.35483870967741937</v>
      </c>
    </row>
    <row r="118" spans="1:38" x14ac:dyDescent="0.25">
      <c r="A118" s="71"/>
      <c r="B118" s="26" t="s">
        <v>519</v>
      </c>
      <c r="C118" s="34" t="str" cm="1">
        <f t="array" ref="C118">IFERROR(INDEX(FORECAST!$D$12:$D$475, MATCH(1, INDEX((ISNUMBER(SEARCH($B118, FORECAST!$A$12:$A$475))) * (INT(FORECAST!$B$12:$B$475) &lt;= C$116) * (INT(FORECAST!$C$12:$C$475) &gt;= C$116), 0), 0)), "")</f>
        <v>Garantizado</v>
      </c>
      <c r="D118" s="34" t="str" cm="1">
        <f t="array" ref="D118">IFERROR(INDEX(FORECAST!$D$12:$D$475, MATCH(1, INDEX((ISNUMBER(SEARCH($B118, FORECAST!$A$12:$A$475))) * (INT(FORECAST!$B$12:$B$475) &lt;= D$116) * (INT(FORECAST!$C$12:$C$475) &gt;= D$116), 0), 0)), "")</f>
        <v>Garantizado</v>
      </c>
      <c r="E118" s="34" t="str" cm="1">
        <f t="array" ref="E118">IFERROR(INDEX(FORECAST!$D$12:$D$475, MATCH(1, INDEX((ISNUMBER(SEARCH($B118, FORECAST!$A$12:$A$475))) * (INT(FORECAST!$B$12:$B$475) &lt;= E$116) * (INT(FORECAST!$C$12:$C$475) &gt;= E$116), 0), 0)), "")</f>
        <v>Garantizado</v>
      </c>
      <c r="F118" s="34" t="str" cm="1">
        <f t="array" ref="F118">IFERROR(INDEX(FORECAST!$D$12:$D$475, MATCH(1, INDEX((ISNUMBER(SEARCH($B118, FORECAST!$A$12:$A$475))) * (INT(FORECAST!$B$12:$B$475) &lt;= F$116) * (INT(FORECAST!$C$12:$C$475) &gt;= F$116), 0), 0)), "")</f>
        <v/>
      </c>
      <c r="G118" s="34" t="str" cm="1">
        <f t="array" ref="G118">IFERROR(INDEX(FORECAST!$D$12:$D$475, MATCH(1, INDEX((ISNUMBER(SEARCH($B118, FORECAST!$A$12:$A$475))) * (INT(FORECAST!$B$12:$B$475) &lt;= G$116) * (INT(FORECAST!$C$12:$C$475) &gt;= G$116), 0), 0)), "")</f>
        <v/>
      </c>
      <c r="H118" s="34" t="str" cm="1">
        <f t="array" ref="H118">IFERROR(INDEX(FORECAST!$D$12:$D$475, MATCH(1, INDEX((ISNUMBER(SEARCH($B118, FORECAST!$A$12:$A$475))) * (INT(FORECAST!$B$12:$B$475) &lt;= H$116) * (INT(FORECAST!$C$12:$C$475) &gt;= H$116), 0), 0)), "")</f>
        <v/>
      </c>
      <c r="I118" s="34" t="str" cm="1">
        <f t="array" ref="I118">IFERROR(INDEX(FORECAST!$D$12:$D$475, MATCH(1, INDEX((ISNUMBER(SEARCH($B118, FORECAST!$A$12:$A$475))) * (INT(FORECAST!$B$12:$B$475) &lt;= I$116) * (INT(FORECAST!$C$12:$C$475) &gt;= I$116), 0), 0)), "")</f>
        <v/>
      </c>
      <c r="J118" s="34" t="str" cm="1">
        <f t="array" ref="J118">IFERROR(INDEX(FORECAST!$D$12:$D$475, MATCH(1, INDEX((ISNUMBER(SEARCH($B118, FORECAST!$A$12:$A$475))) * (INT(FORECAST!$B$12:$B$475) &lt;= J$116) * (INT(FORECAST!$C$12:$C$475) &gt;= J$116), 0), 0)), "")</f>
        <v/>
      </c>
      <c r="K118" s="34" t="str" cm="1">
        <f t="array" ref="K118">IFERROR(INDEX(FORECAST!$D$12:$D$475, MATCH(1, INDEX((ISNUMBER(SEARCH($B118, FORECAST!$A$12:$A$475))) * (INT(FORECAST!$B$12:$B$475) &lt;= K$116) * (INT(FORECAST!$C$12:$C$475) &gt;= K$116), 0), 0)), "")</f>
        <v>Garantizado</v>
      </c>
      <c r="L118" s="34" t="str" cm="1">
        <f t="array" ref="L118">IFERROR(INDEX(FORECAST!$D$12:$D$475, MATCH(1, INDEX((ISNUMBER(SEARCH($B118, FORECAST!$A$12:$A$475))) * (INT(FORECAST!$B$12:$B$475) &lt;= L$116) * (INT(FORECAST!$C$12:$C$475) &gt;= L$116), 0), 0)), "")</f>
        <v>Garantizado</v>
      </c>
      <c r="M118" s="34" t="str" cm="1">
        <f t="array" ref="M118">IFERROR(INDEX(FORECAST!$D$12:$D$475, MATCH(1, INDEX((ISNUMBER(SEARCH($B118, FORECAST!$A$12:$A$475))) * (INT(FORECAST!$B$12:$B$475) &lt;= M$116) * (INT(FORECAST!$C$12:$C$475) &gt;= M$116), 0), 0)), "")</f>
        <v>Garantizado</v>
      </c>
      <c r="N118" s="34" t="str" cm="1">
        <f t="array" ref="N118">IFERROR(INDEX(FORECAST!$D$12:$D$475, MATCH(1, INDEX((ISNUMBER(SEARCH($B118, FORECAST!$A$12:$A$475))) * (INT(FORECAST!$B$12:$B$475) &lt;= N$116) * (INT(FORECAST!$C$12:$C$475) &gt;= N$116), 0), 0)), "")</f>
        <v/>
      </c>
      <c r="O118" s="34" t="str" cm="1">
        <f t="array" ref="O118">IFERROR(INDEX(FORECAST!$D$12:$D$475, MATCH(1, INDEX((ISNUMBER(SEARCH($B118, FORECAST!$A$12:$A$475))) * (INT(FORECAST!$B$12:$B$475) &lt;= O$116) * (INT(FORECAST!$C$12:$C$475) &gt;= O$116), 0), 0)), "")</f>
        <v/>
      </c>
      <c r="P118" s="34" t="str" cm="1">
        <f t="array" ref="P118">IFERROR(INDEX(FORECAST!$D$12:$D$475, MATCH(1, INDEX((ISNUMBER(SEARCH($B118, FORECAST!$A$12:$A$475))) * (INT(FORECAST!$B$12:$B$475) &lt;= P$116) * (INT(FORECAST!$C$12:$C$475) &gt;= P$116), 0), 0)), "")</f>
        <v/>
      </c>
      <c r="Q118" s="34" t="str" cm="1">
        <f t="array" ref="Q118">IFERROR(INDEX(FORECAST!$D$12:$D$475, MATCH(1, INDEX((ISNUMBER(SEARCH($B118, FORECAST!$A$12:$A$475))) * (INT(FORECAST!$B$12:$B$475) &lt;= Q$116) * (INT(FORECAST!$C$12:$C$475) &gt;= Q$116), 0), 0)), "")</f>
        <v>Garantizado</v>
      </c>
      <c r="R118" s="34" t="str" cm="1">
        <f t="array" ref="R118">IFERROR(INDEX(FORECAST!$D$12:$D$475, MATCH(1, INDEX((ISNUMBER(SEARCH($B118, FORECAST!$A$12:$A$475))) * (INT(FORECAST!$B$12:$B$475) &lt;= R$116) * (INT(FORECAST!$C$12:$C$475) &gt;= R$116), 0), 0)), "")</f>
        <v>Garantizado</v>
      </c>
      <c r="S118" s="34" t="str" cm="1">
        <f t="array" ref="S118">IFERROR(INDEX(FORECAST!$D$12:$D$475, MATCH(1, INDEX((ISNUMBER(SEARCH($B118, FORECAST!$A$12:$A$475))) * (INT(FORECAST!$B$12:$B$475) &lt;= S$116) * (INT(FORECAST!$C$12:$C$475) &gt;= S$116), 0), 0)), "")</f>
        <v/>
      </c>
      <c r="T118" s="34" t="str" cm="1">
        <f t="array" ref="T118">IFERROR(INDEX(FORECAST!$D$12:$D$475, MATCH(1, INDEX((ISNUMBER(SEARCH($B118, FORECAST!$A$12:$A$475))) * (INT(FORECAST!$B$12:$B$475) &lt;= T$116) * (INT(FORECAST!$C$12:$C$475) &gt;= T$116), 0), 0)), "")</f>
        <v/>
      </c>
      <c r="U118" s="34" t="str" cm="1">
        <f t="array" ref="U118">IFERROR(INDEX(FORECAST!$D$12:$D$475, MATCH(1, INDEX((ISNUMBER(SEARCH($B118, FORECAST!$A$12:$A$475))) * (INT(FORECAST!$B$12:$B$475) &lt;= U$116) * (INT(FORECAST!$C$12:$C$475) &gt;= U$116), 0), 0)), "")</f>
        <v>Presupuesto</v>
      </c>
      <c r="V118" s="34" t="str" cm="1">
        <f t="array" ref="V118">IFERROR(INDEX(FORECAST!$D$12:$D$475, MATCH(1, INDEX((ISNUMBER(SEARCH($B118, FORECAST!$A$12:$A$475))) * (INT(FORECAST!$B$12:$B$475) &lt;= V$116) * (INT(FORECAST!$C$12:$C$475) &gt;= V$116), 0), 0)), "")</f>
        <v>Presupuesto</v>
      </c>
      <c r="W118" s="34" t="str" cm="1">
        <f t="array" ref="W118">IFERROR(INDEX(FORECAST!$D$12:$D$475, MATCH(1, INDEX((ISNUMBER(SEARCH($B118, FORECAST!$A$12:$A$475))) * (INT(FORECAST!$B$12:$B$475) &lt;= W$116) * (INT(FORECAST!$C$12:$C$475) &gt;= W$116), 0), 0)), "")</f>
        <v>Presupuesto</v>
      </c>
      <c r="X118" s="34" t="str" cm="1">
        <f t="array" ref="X118">IFERROR(INDEX(FORECAST!$D$12:$D$475, MATCH(1, INDEX((ISNUMBER(SEARCH($B118, FORECAST!$A$12:$A$475))) * (INT(FORECAST!$B$12:$B$475) &lt;= X$116) * (INT(FORECAST!$C$12:$C$475) &gt;= X$116), 0), 0)), "")</f>
        <v>Presupuesto</v>
      </c>
      <c r="Y118" s="34" t="str" cm="1">
        <f t="array" ref="Y118">IFERROR(INDEX(FORECAST!$D$12:$D$475, MATCH(1, INDEX((ISNUMBER(SEARCH($B118, FORECAST!$A$12:$A$475))) * (INT(FORECAST!$B$12:$B$475) &lt;= Y$116) * (INT(FORECAST!$C$12:$C$475) &gt;= Y$116), 0), 0)), "")</f>
        <v>Presupuesto</v>
      </c>
      <c r="Z118" s="34" t="str" cm="1">
        <f t="array" ref="Z118">IFERROR(INDEX(FORECAST!$D$12:$D$475, MATCH(1, INDEX((ISNUMBER(SEARCH($B118, FORECAST!$A$12:$A$475))) * (INT(FORECAST!$B$12:$B$475) &lt;= Z$116) * (INT(FORECAST!$C$12:$C$475) &gt;= Z$116), 0), 0)), "")</f>
        <v>Presupuesto</v>
      </c>
      <c r="AA118" s="34" t="str" cm="1">
        <f t="array" ref="AA118">IFERROR(INDEX(FORECAST!$D$12:$D$475, MATCH(1, INDEX((ISNUMBER(SEARCH($B118, FORECAST!$A$12:$A$475))) * (INT(FORECAST!$B$12:$B$475) &lt;= AA$116) * (INT(FORECAST!$C$12:$C$475) &gt;= AA$116), 0), 0)), "")</f>
        <v>Presupuesto</v>
      </c>
      <c r="AB118" s="34" t="str" cm="1">
        <f t="array" ref="AB118">IFERROR(INDEX(FORECAST!$D$12:$D$475, MATCH(1, INDEX((ISNUMBER(SEARCH($B118, FORECAST!$A$12:$A$475))) * (INT(FORECAST!$B$12:$B$475) &lt;= AB$116) * (INT(FORECAST!$C$12:$C$475) &gt;= AB$116), 0), 0)), "")</f>
        <v/>
      </c>
      <c r="AC118" s="34" t="str" cm="1">
        <f t="array" ref="AC118">IFERROR(INDEX(FORECAST!$D$12:$D$475, MATCH(1, INDEX((ISNUMBER(SEARCH($B118, FORECAST!$A$12:$A$475))) * (INT(FORECAST!$B$12:$B$475) &lt;= AC$116) * (INT(FORECAST!$C$12:$C$475) &gt;= AC$116), 0), 0)), "")</f>
        <v>Tentativo</v>
      </c>
      <c r="AD118" s="34" t="str" cm="1">
        <f t="array" ref="AD118">IFERROR(INDEX(FORECAST!$D$12:$D$475, MATCH(1, INDEX((ISNUMBER(SEARCH($B118, FORECAST!$A$12:$A$475))) * (INT(FORECAST!$B$12:$B$475) &lt;= AD$116) * (INT(FORECAST!$C$12:$C$475) &gt;= AD$116), 0), 0)), "")</f>
        <v>Tentativo</v>
      </c>
      <c r="AE118" s="34" t="str" cm="1">
        <f t="array" ref="AE118">IFERROR(INDEX(FORECAST!$D$12:$D$475, MATCH(1, INDEX((ISNUMBER(SEARCH($B118, FORECAST!$A$12:$A$475))) * (INT(FORECAST!$B$12:$B$475) &lt;= AE$116) * (INT(FORECAST!$C$12:$C$475) &gt;= AE$116), 0), 0)), "")</f>
        <v/>
      </c>
      <c r="AF118" s="34" t="str" cm="1">
        <f t="array" ref="AF118">IFERROR(INDEX(FORECAST!$D$12:$D$475, MATCH(1, INDEX((ISNUMBER(SEARCH($B118, FORECAST!$A$12:$A$475))) * (INT(FORECAST!$B$12:$B$475) &lt;= AF$116) * (INT(FORECAST!$C$12:$C$475) &gt;= AF$116), 0), 0)), "")</f>
        <v/>
      </c>
      <c r="AG118" s="34" t="str" cm="1">
        <f t="array" ref="AG118">IFERROR(INDEX(FORECAST!$D$12:$D$475, MATCH(1, INDEX((ISNUMBER(SEARCH($B118, FORECAST!$A$12:$A$475))) * (INT(FORECAST!$B$12:$B$475) &lt;= AG$116) * (INT(FORECAST!$C$12:$C$475) &gt;= AG$116), 0), 0)), "")</f>
        <v/>
      </c>
      <c r="AH118" s="9"/>
      <c r="AI118" s="2"/>
      <c r="AJ118" s="45">
        <f t="shared" ref="AJ118:AJ124" si="9">COUNTIF(C118:AG118,"Garantizado")/31</f>
        <v>0.25806451612903225</v>
      </c>
    </row>
    <row r="119" spans="1:38" x14ac:dyDescent="0.25">
      <c r="A119" s="71"/>
      <c r="B119" s="26" t="s">
        <v>279</v>
      </c>
      <c r="C119" s="34" t="str" cm="1">
        <f t="array" ref="C119">IFERROR(INDEX(FORECAST!$D$12:$D$475, MATCH(1, INDEX((ISNUMBER(SEARCH($B119, FORECAST!$A$12:$A$475))) * (INT(FORECAST!$B$12:$B$475) &lt;= C$116) * (INT(FORECAST!$C$12:$C$475) &gt;= C$116), 0), 0)), "")</f>
        <v>Garantizado</v>
      </c>
      <c r="D119" s="34" t="str" cm="1">
        <f t="array" ref="D119">IFERROR(INDEX(FORECAST!$D$12:$D$475, MATCH(1, INDEX((ISNUMBER(SEARCH($B119, FORECAST!$A$12:$A$475))) * (INT(FORECAST!$B$12:$B$475) &lt;= D$116) * (INT(FORECAST!$C$12:$C$475) &gt;= D$116), 0), 0)), "")</f>
        <v>Garantizado</v>
      </c>
      <c r="E119" s="34" t="str" cm="1">
        <f t="array" ref="E119">IFERROR(INDEX(FORECAST!$D$12:$D$475, MATCH(1, INDEX((ISNUMBER(SEARCH($B119, FORECAST!$A$12:$A$475))) * (INT(FORECAST!$B$12:$B$475) &lt;= E$116) * (INT(FORECAST!$C$12:$C$475) &gt;= E$116), 0), 0)), "")</f>
        <v>Garantizado</v>
      </c>
      <c r="F119" s="34" t="str" cm="1">
        <f t="array" ref="F119">IFERROR(INDEX(FORECAST!$D$12:$D$475, MATCH(1, INDEX((ISNUMBER(SEARCH($B119, FORECAST!$A$12:$A$475))) * (INT(FORECAST!$B$12:$B$475) &lt;= F$116) * (INT(FORECAST!$C$12:$C$475) &gt;= F$116), 0), 0)), "")</f>
        <v/>
      </c>
      <c r="G119" s="34" t="str" cm="1">
        <f t="array" ref="G119">IFERROR(INDEX(FORECAST!$D$12:$D$475, MATCH(1, INDEX((ISNUMBER(SEARCH($B119, FORECAST!$A$12:$A$475))) * (INT(FORECAST!$B$12:$B$475) &lt;= G$116) * (INT(FORECAST!$C$12:$C$475) &gt;= G$116), 0), 0)), "")</f>
        <v/>
      </c>
      <c r="H119" s="34" t="str" cm="1">
        <f t="array" ref="H119">IFERROR(INDEX(FORECAST!$D$12:$D$475, MATCH(1, INDEX((ISNUMBER(SEARCH($B119, FORECAST!$A$12:$A$475))) * (INT(FORECAST!$B$12:$B$475) &lt;= H$116) * (INT(FORECAST!$C$12:$C$475) &gt;= H$116), 0), 0)), "")</f>
        <v/>
      </c>
      <c r="I119" s="34" t="str" cm="1">
        <f t="array" ref="I119">IFERROR(INDEX(FORECAST!$D$12:$D$475, MATCH(1, INDEX((ISNUMBER(SEARCH($B119, FORECAST!$A$12:$A$475))) * (INT(FORECAST!$B$12:$B$475) &lt;= I$116) * (INT(FORECAST!$C$12:$C$475) &gt;= I$116), 0), 0)), "")</f>
        <v/>
      </c>
      <c r="J119" s="34" t="str" cm="1">
        <f t="array" ref="J119">IFERROR(INDEX(FORECAST!$D$12:$D$475, MATCH(1, INDEX((ISNUMBER(SEARCH($B119, FORECAST!$A$12:$A$475))) * (INT(FORECAST!$B$12:$B$475) &lt;= J$116) * (INT(FORECAST!$C$12:$C$475) &gt;= J$116), 0), 0)), "")</f>
        <v/>
      </c>
      <c r="K119" s="34" t="str" cm="1">
        <f t="array" ref="K119">IFERROR(INDEX(FORECAST!$D$12:$D$475, MATCH(1, INDEX((ISNUMBER(SEARCH($B119, FORECAST!$A$12:$A$475))) * (INT(FORECAST!$B$12:$B$475) &lt;= K$116) * (INT(FORECAST!$C$12:$C$475) &gt;= K$116), 0), 0)), "")</f>
        <v/>
      </c>
      <c r="L119" s="34" t="str" cm="1">
        <f t="array" ref="L119">IFERROR(INDEX(FORECAST!$D$12:$D$475, MATCH(1, INDEX((ISNUMBER(SEARCH($B119, FORECAST!$A$12:$A$475))) * (INT(FORECAST!$B$12:$B$475) &lt;= L$116) * (INT(FORECAST!$C$12:$C$475) &gt;= L$116), 0), 0)), "")</f>
        <v/>
      </c>
      <c r="M119" s="34" t="str" cm="1">
        <f t="array" ref="M119">IFERROR(INDEX(FORECAST!$D$12:$D$475, MATCH(1, INDEX((ISNUMBER(SEARCH($B119, FORECAST!$A$12:$A$475))) * (INT(FORECAST!$B$12:$B$475) &lt;= M$116) * (INT(FORECAST!$C$12:$C$475) &gt;= M$116), 0), 0)), "")</f>
        <v/>
      </c>
      <c r="N119" s="34" t="str" cm="1">
        <f t="array" ref="N119">IFERROR(INDEX(FORECAST!$D$12:$D$475, MATCH(1, INDEX((ISNUMBER(SEARCH($B119, FORECAST!$A$12:$A$475))) * (INT(FORECAST!$B$12:$B$475) &lt;= N$116) * (INT(FORECAST!$C$12:$C$475) &gt;= N$116), 0), 0)), "")</f>
        <v/>
      </c>
      <c r="O119" s="34" t="str" cm="1">
        <f t="array" ref="O119">IFERROR(INDEX(FORECAST!$D$12:$D$475, MATCH(1, INDEX((ISNUMBER(SEARCH($B119, FORECAST!$A$12:$A$475))) * (INT(FORECAST!$B$12:$B$475) &lt;= O$116) * (INT(FORECAST!$C$12:$C$475) &gt;= O$116), 0), 0)), "")</f>
        <v/>
      </c>
      <c r="P119" s="34" t="str" cm="1">
        <f t="array" ref="P119">IFERROR(INDEX(FORECAST!$D$12:$D$475, MATCH(1, INDEX((ISNUMBER(SEARCH($B119, FORECAST!$A$12:$A$475))) * (INT(FORECAST!$B$12:$B$475) &lt;= P$116) * (INT(FORECAST!$C$12:$C$475) &gt;= P$116), 0), 0)), "")</f>
        <v/>
      </c>
      <c r="Q119" s="34" t="str" cm="1">
        <f t="array" ref="Q119">IFERROR(INDEX(FORECAST!$D$12:$D$475, MATCH(1, INDEX((ISNUMBER(SEARCH($B119, FORECAST!$A$12:$A$475))) * (INT(FORECAST!$B$12:$B$475) &lt;= Q$116) * (INT(FORECAST!$C$12:$C$475) &gt;= Q$116), 0), 0)), "")</f>
        <v>Garantizado</v>
      </c>
      <c r="R119" s="34" t="str" cm="1">
        <f t="array" ref="R119">IFERROR(INDEX(FORECAST!$D$12:$D$475, MATCH(1, INDEX((ISNUMBER(SEARCH($B119, FORECAST!$A$12:$A$475))) * (INT(FORECAST!$B$12:$B$475) &lt;= R$116) * (INT(FORECAST!$C$12:$C$475) &gt;= R$116), 0), 0)), "")</f>
        <v>Garantizado</v>
      </c>
      <c r="S119" s="34" t="str" cm="1">
        <f t="array" ref="S119">IFERROR(INDEX(FORECAST!$D$12:$D$475, MATCH(1, INDEX((ISNUMBER(SEARCH($B119, FORECAST!$A$12:$A$475))) * (INT(FORECAST!$B$12:$B$475) &lt;= S$116) * (INT(FORECAST!$C$12:$C$475) &gt;= S$116), 0), 0)), "")</f>
        <v/>
      </c>
      <c r="T119" s="34" t="str" cm="1">
        <f t="array" ref="T119">IFERROR(INDEX(FORECAST!$D$12:$D$475, MATCH(1, INDEX((ISNUMBER(SEARCH($B119, FORECAST!$A$12:$A$475))) * (INT(FORECAST!$B$12:$B$475) &lt;= T$116) * (INT(FORECAST!$C$12:$C$475) &gt;= T$116), 0), 0)), "")</f>
        <v/>
      </c>
      <c r="U119" s="34" t="str" cm="1">
        <f t="array" ref="U119">IFERROR(INDEX(FORECAST!$D$12:$D$475, MATCH(1, INDEX((ISNUMBER(SEARCH($B119, FORECAST!$A$12:$A$475))) * (INT(FORECAST!$B$12:$B$475) &lt;= U$116) * (INT(FORECAST!$C$12:$C$475) &gt;= U$116), 0), 0)), "")</f>
        <v>Presupuesto</v>
      </c>
      <c r="V119" s="34" t="str" cm="1">
        <f t="array" ref="V119">IFERROR(INDEX(FORECAST!$D$12:$D$475, MATCH(1, INDEX((ISNUMBER(SEARCH($B119, FORECAST!$A$12:$A$475))) * (INT(FORECAST!$B$12:$B$475) &lt;= V$116) * (INT(FORECAST!$C$12:$C$475) &gt;= V$116), 0), 0)), "")</f>
        <v>Presupuesto</v>
      </c>
      <c r="W119" s="34" t="str" cm="1">
        <f t="array" ref="W119">IFERROR(INDEX(FORECAST!$D$12:$D$475, MATCH(1, INDEX((ISNUMBER(SEARCH($B119, FORECAST!$A$12:$A$475))) * (INT(FORECAST!$B$12:$B$475) &lt;= W$116) * (INT(FORECAST!$C$12:$C$475) &gt;= W$116), 0), 0)), "")</f>
        <v>Presupuesto</v>
      </c>
      <c r="X119" s="34" t="str" cm="1">
        <f t="array" ref="X119">IFERROR(INDEX(FORECAST!$D$12:$D$475, MATCH(1, INDEX((ISNUMBER(SEARCH($B119, FORECAST!$A$12:$A$475))) * (INT(FORECAST!$B$12:$B$475) &lt;= X$116) * (INT(FORECAST!$C$12:$C$475) &gt;= X$116), 0), 0)), "")</f>
        <v>Presupuesto</v>
      </c>
      <c r="Y119" s="34" t="str" cm="1">
        <f t="array" ref="Y119">IFERROR(INDEX(FORECAST!$D$12:$D$475, MATCH(1, INDEX((ISNUMBER(SEARCH($B119, FORECAST!$A$12:$A$475))) * (INT(FORECAST!$B$12:$B$475) &lt;= Y$116) * (INT(FORECAST!$C$12:$C$475) &gt;= Y$116), 0), 0)), "")</f>
        <v>Presupuesto</v>
      </c>
      <c r="Z119" s="34" t="str" cm="1">
        <f t="array" ref="Z119">IFERROR(INDEX(FORECAST!$D$12:$D$475, MATCH(1, INDEX((ISNUMBER(SEARCH($B119, FORECAST!$A$12:$A$475))) * (INT(FORECAST!$B$12:$B$475) &lt;= Z$116) * (INT(FORECAST!$C$12:$C$475) &gt;= Z$116), 0), 0)), "")</f>
        <v>Presupuesto</v>
      </c>
      <c r="AA119" s="34" t="str" cm="1">
        <f t="array" ref="AA119">IFERROR(INDEX(FORECAST!$D$12:$D$475, MATCH(1, INDEX((ISNUMBER(SEARCH($B119, FORECAST!$A$12:$A$475))) * (INT(FORECAST!$B$12:$B$475) &lt;= AA$116) * (INT(FORECAST!$C$12:$C$475) &gt;= AA$116), 0), 0)), "")</f>
        <v>Presupuesto</v>
      </c>
      <c r="AB119" s="34" t="str" cm="1">
        <f t="array" ref="AB119">IFERROR(INDEX(FORECAST!$D$12:$D$475, MATCH(1, INDEX((ISNUMBER(SEARCH($B119, FORECAST!$A$12:$A$475))) * (INT(FORECAST!$B$12:$B$475) &lt;= AB$116) * (INT(FORECAST!$C$12:$C$475) &gt;= AB$116), 0), 0)), "")</f>
        <v/>
      </c>
      <c r="AC119" s="34" t="str" cm="1">
        <f t="array" ref="AC119">IFERROR(INDEX(FORECAST!$D$12:$D$475, MATCH(1, INDEX((ISNUMBER(SEARCH($B119, FORECAST!$A$12:$A$475))) * (INT(FORECAST!$B$12:$B$475) &lt;= AC$116) * (INT(FORECAST!$C$12:$C$475) &gt;= AC$116), 0), 0)), "")</f>
        <v/>
      </c>
      <c r="AD119" s="34" t="str" cm="1">
        <f t="array" ref="AD119">IFERROR(INDEX(FORECAST!$D$12:$D$475, MATCH(1, INDEX((ISNUMBER(SEARCH($B119, FORECAST!$A$12:$A$475))) * (INT(FORECAST!$B$12:$B$475) &lt;= AD$116) * (INT(FORECAST!$C$12:$C$475) &gt;= AD$116), 0), 0)), "")</f>
        <v/>
      </c>
      <c r="AE119" s="34" t="str" cm="1">
        <f t="array" ref="AE119">IFERROR(INDEX(FORECAST!$D$12:$D$475, MATCH(1, INDEX((ISNUMBER(SEARCH($B119, FORECAST!$A$12:$A$475))) * (INT(FORECAST!$B$12:$B$475) &lt;= AE$116) * (INT(FORECAST!$C$12:$C$475) &gt;= AE$116), 0), 0)), "")</f>
        <v/>
      </c>
      <c r="AF119" s="34" t="str" cm="1">
        <f t="array" ref="AF119">IFERROR(INDEX(FORECAST!$D$12:$D$475, MATCH(1, INDEX((ISNUMBER(SEARCH($B119, FORECAST!$A$12:$A$475))) * (INT(FORECAST!$B$12:$B$475) &lt;= AF$116) * (INT(FORECAST!$C$12:$C$475) &gt;= AF$116), 0), 0)), "")</f>
        <v/>
      </c>
      <c r="AG119" s="34" t="str" cm="1">
        <f t="array" ref="AG119">IFERROR(INDEX(FORECAST!$D$12:$D$475, MATCH(1, INDEX((ISNUMBER(SEARCH($B119, FORECAST!$A$12:$A$475))) * (INT(FORECAST!$B$12:$B$475) &lt;= AG$116) * (INT(FORECAST!$C$12:$C$475) &gt;= AG$116), 0), 0)), "")</f>
        <v/>
      </c>
      <c r="AH119" s="2"/>
      <c r="AI119" s="2"/>
      <c r="AJ119" s="45">
        <f t="shared" si="9"/>
        <v>0.16129032258064516</v>
      </c>
      <c r="AL119" s="22" t="s">
        <v>520</v>
      </c>
    </row>
    <row r="120" spans="1:38" x14ac:dyDescent="0.25">
      <c r="A120" s="71"/>
      <c r="B120" s="26" t="s">
        <v>521</v>
      </c>
      <c r="C120" s="34" t="str" cm="1">
        <f t="array" ref="C120">IFERROR(INDEX(FORECAST!$D$12:$D$475, MATCH(1, INDEX((ISNUMBER(SEARCH($B120, FORECAST!$A$12:$A$475))) * (INT(FORECAST!$B$12:$B$475) &lt;= C$116) * (INT(FORECAST!$C$12:$C$475) &gt;= C$116), 0), 0)), "")</f>
        <v>Garantizado</v>
      </c>
      <c r="D120" s="34" t="str" cm="1">
        <f t="array" ref="D120">IFERROR(INDEX(FORECAST!$D$12:$D$475, MATCH(1, INDEX((ISNUMBER(SEARCH($B120, FORECAST!$A$12:$A$475))) * (INT(FORECAST!$B$12:$B$475) &lt;= D$116) * (INT(FORECAST!$C$12:$C$475) &gt;= D$116), 0), 0)), "")</f>
        <v>Garantizado</v>
      </c>
      <c r="E120" s="34" t="str" cm="1">
        <f t="array" ref="E120">IFERROR(INDEX(FORECAST!$D$12:$D$475, MATCH(1, INDEX((ISNUMBER(SEARCH($B120, FORECAST!$A$12:$A$475))) * (INT(FORECAST!$B$12:$B$475) &lt;= E$116) * (INT(FORECAST!$C$12:$C$475) &gt;= E$116), 0), 0)), "")</f>
        <v>Garantizado</v>
      </c>
      <c r="F120" s="34" t="str" cm="1">
        <f t="array" ref="F120">IFERROR(INDEX(FORECAST!$D$12:$D$475, MATCH(1, INDEX((ISNUMBER(SEARCH($B120, FORECAST!$A$12:$A$475))) * (INT(FORECAST!$B$12:$B$475) &lt;= F$116) * (INT(FORECAST!$C$12:$C$475) &gt;= F$116), 0), 0)), "")</f>
        <v/>
      </c>
      <c r="G120" s="34" t="str" cm="1">
        <f t="array" ref="G120">IFERROR(INDEX(FORECAST!$D$12:$D$475, MATCH(1, INDEX((ISNUMBER(SEARCH($B120, FORECAST!$A$12:$A$475))) * (INT(FORECAST!$B$12:$B$475) &lt;= G$116) * (INT(FORECAST!$C$12:$C$475) &gt;= G$116), 0), 0)), "")</f>
        <v/>
      </c>
      <c r="H120" s="34" t="str" cm="1">
        <f t="array" ref="H120">IFERROR(INDEX(FORECAST!$D$12:$D$475, MATCH(1, INDEX((ISNUMBER(SEARCH($B120, FORECAST!$A$12:$A$475))) * (INT(FORECAST!$B$12:$B$475) &lt;= H$116) * (INT(FORECAST!$C$12:$C$475) &gt;= H$116), 0), 0)), "")</f>
        <v/>
      </c>
      <c r="I120" s="34" t="str" cm="1">
        <f t="array" ref="I120">IFERROR(INDEX(FORECAST!$D$12:$D$475, MATCH(1, INDEX((ISNUMBER(SEARCH($B120, FORECAST!$A$12:$A$475))) * (INT(FORECAST!$B$12:$B$475) &lt;= I$116) * (INT(FORECAST!$C$12:$C$475) &gt;= I$116), 0), 0)), "")</f>
        <v/>
      </c>
      <c r="J120" s="34" t="str" cm="1">
        <f t="array" ref="J120">IFERROR(INDEX(FORECAST!$D$12:$D$475, MATCH(1, INDEX((ISNUMBER(SEARCH($B120, FORECAST!$A$12:$A$475))) * (INT(FORECAST!$B$12:$B$475) &lt;= J$116) * (INT(FORECAST!$C$12:$C$475) &gt;= J$116), 0), 0)), "")</f>
        <v/>
      </c>
      <c r="K120" s="34" t="str" cm="1">
        <f t="array" ref="K120">IFERROR(INDEX(FORECAST!$D$12:$D$475, MATCH(1, INDEX((ISNUMBER(SEARCH($B120, FORECAST!$A$12:$A$475))) * (INT(FORECAST!$B$12:$B$475) &lt;= K$116) * (INT(FORECAST!$C$12:$C$475) &gt;= K$116), 0), 0)), "")</f>
        <v/>
      </c>
      <c r="L120" s="34" t="str" cm="1">
        <f t="array" ref="L120">IFERROR(INDEX(FORECAST!$D$12:$D$475, MATCH(1, INDEX((ISNUMBER(SEARCH($B120, FORECAST!$A$12:$A$475))) * (INT(FORECAST!$B$12:$B$475) &lt;= L$116) * (INT(FORECAST!$C$12:$C$475) &gt;= L$116), 0), 0)), "")</f>
        <v/>
      </c>
      <c r="M120" s="34" t="str" cm="1">
        <f t="array" ref="M120">IFERROR(INDEX(FORECAST!$D$12:$D$475, MATCH(1, INDEX((ISNUMBER(SEARCH($B120, FORECAST!$A$12:$A$475))) * (INT(FORECAST!$B$12:$B$475) &lt;= M$116) * (INT(FORECAST!$C$12:$C$475) &gt;= M$116), 0), 0)), "")</f>
        <v/>
      </c>
      <c r="N120" s="34" t="str" cm="1">
        <f t="array" ref="N120">IFERROR(INDEX(FORECAST!$D$12:$D$475, MATCH(1, INDEX((ISNUMBER(SEARCH($B120, FORECAST!$A$12:$A$475))) * (INT(FORECAST!$B$12:$B$475) &lt;= N$116) * (INT(FORECAST!$C$12:$C$475) &gt;= N$116), 0), 0)), "")</f>
        <v/>
      </c>
      <c r="O120" s="34" t="str" cm="1">
        <f t="array" ref="O120">IFERROR(INDEX(FORECAST!$D$12:$D$475, MATCH(1, INDEX((ISNUMBER(SEARCH($B120, FORECAST!$A$12:$A$475))) * (INT(FORECAST!$B$12:$B$475) &lt;= O$116) * (INT(FORECAST!$C$12:$C$475) &gt;= O$116), 0), 0)), "")</f>
        <v/>
      </c>
      <c r="P120" s="34" t="str" cm="1">
        <f t="array" ref="P120">IFERROR(INDEX(FORECAST!$D$12:$D$475, MATCH(1, INDEX((ISNUMBER(SEARCH($B120, FORECAST!$A$12:$A$475))) * (INT(FORECAST!$B$12:$B$475) &lt;= P$116) * (INT(FORECAST!$C$12:$C$475) &gt;= P$116), 0), 0)), "")</f>
        <v/>
      </c>
      <c r="Q120" s="34" t="str" cm="1">
        <f t="array" ref="Q120">IFERROR(INDEX(FORECAST!$D$12:$D$475, MATCH(1, INDEX((ISNUMBER(SEARCH($B120, FORECAST!$A$12:$A$475))) * (INT(FORECAST!$B$12:$B$475) &lt;= Q$116) * (INT(FORECAST!$C$12:$C$475) &gt;= Q$116), 0), 0)), "")</f>
        <v/>
      </c>
      <c r="R120" s="34" t="str" cm="1">
        <f t="array" ref="R120">IFERROR(INDEX(FORECAST!$D$12:$D$475, MATCH(1, INDEX((ISNUMBER(SEARCH($B120, FORECAST!$A$12:$A$475))) * (INT(FORECAST!$B$12:$B$475) &lt;= R$116) * (INT(FORECAST!$C$12:$C$475) &gt;= R$116), 0), 0)), "")</f>
        <v/>
      </c>
      <c r="S120" s="34" t="str" cm="1">
        <f t="array" ref="S120">IFERROR(INDEX(FORECAST!$D$12:$D$475, MATCH(1, INDEX((ISNUMBER(SEARCH($B120, FORECAST!$A$12:$A$475))) * (INT(FORECAST!$B$12:$B$475) &lt;= S$116) * (INT(FORECAST!$C$12:$C$475) &gt;= S$116), 0), 0)), "")</f>
        <v/>
      </c>
      <c r="T120" s="34" t="str" cm="1">
        <f t="array" ref="T120">IFERROR(INDEX(FORECAST!$D$12:$D$475, MATCH(1, INDEX((ISNUMBER(SEARCH($B120, FORECAST!$A$12:$A$475))) * (INT(FORECAST!$B$12:$B$475) &lt;= T$116) * (INT(FORECAST!$C$12:$C$475) &gt;= T$116), 0), 0)), "")</f>
        <v/>
      </c>
      <c r="U120" s="34" t="str" cm="1">
        <f t="array" ref="U120">IFERROR(INDEX(FORECAST!$D$12:$D$475, MATCH(1, INDEX((ISNUMBER(SEARCH($B120, FORECAST!$A$12:$A$475))) * (INT(FORECAST!$B$12:$B$475) &lt;= U$116) * (INT(FORECAST!$C$12:$C$475) &gt;= U$116), 0), 0)), "")</f>
        <v/>
      </c>
      <c r="V120" s="34" t="str" cm="1">
        <f t="array" ref="V120">IFERROR(INDEX(FORECAST!$D$12:$D$475, MATCH(1, INDEX((ISNUMBER(SEARCH($B120, FORECAST!$A$12:$A$475))) * (INT(FORECAST!$B$12:$B$475) &lt;= V$116) * (INT(FORECAST!$C$12:$C$475) &gt;= V$116), 0), 0)), "")</f>
        <v/>
      </c>
      <c r="W120" s="34" t="str" cm="1">
        <f t="array" ref="W120">IFERROR(INDEX(FORECAST!$D$12:$D$475, MATCH(1, INDEX((ISNUMBER(SEARCH($B120, FORECAST!$A$12:$A$475))) * (INT(FORECAST!$B$12:$B$475) &lt;= W$116) * (INT(FORECAST!$C$12:$C$475) &gt;= W$116), 0), 0)), "")</f>
        <v>Garantizado</v>
      </c>
      <c r="X120" s="34" t="str" cm="1">
        <f t="array" ref="X120">IFERROR(INDEX(FORECAST!$D$12:$D$475, MATCH(1, INDEX((ISNUMBER(SEARCH($B120, FORECAST!$A$12:$A$475))) * (INT(FORECAST!$B$12:$B$475) &lt;= X$116) * (INT(FORECAST!$C$12:$C$475) &gt;= X$116), 0), 0)), "")</f>
        <v>Garantizado</v>
      </c>
      <c r="Y120" s="34" t="str" cm="1">
        <f t="array" ref="Y120">IFERROR(INDEX(FORECAST!$D$12:$D$475, MATCH(1, INDEX((ISNUMBER(SEARCH($B120, FORECAST!$A$12:$A$475))) * (INT(FORECAST!$B$12:$B$475) &lt;= Y$116) * (INT(FORECAST!$C$12:$C$475) &gt;= Y$116), 0), 0)), "")</f>
        <v>Garantizado</v>
      </c>
      <c r="Z120" s="34" t="str" cm="1">
        <f t="array" ref="Z120">IFERROR(INDEX(FORECAST!$D$12:$D$475, MATCH(1, INDEX((ISNUMBER(SEARCH($B120, FORECAST!$A$12:$A$475))) * (INT(FORECAST!$B$12:$B$475) &lt;= Z$116) * (INT(FORECAST!$C$12:$C$475) &gt;= Z$116), 0), 0)), "")</f>
        <v>Garantizado</v>
      </c>
      <c r="AA120" s="34" t="str" cm="1">
        <f t="array" ref="AA120">IFERROR(INDEX(FORECAST!$D$12:$D$475, MATCH(1, INDEX((ISNUMBER(SEARCH($B120, FORECAST!$A$12:$A$475))) * (INT(FORECAST!$B$12:$B$475) &lt;= AA$116) * (INT(FORECAST!$C$12:$C$475) &gt;= AA$116), 0), 0)), "")</f>
        <v/>
      </c>
      <c r="AB120" s="34" t="str" cm="1">
        <f t="array" ref="AB120">IFERROR(INDEX(FORECAST!$D$12:$D$475, MATCH(1, INDEX((ISNUMBER(SEARCH($B120, FORECAST!$A$12:$A$475))) * (INT(FORECAST!$B$12:$B$475) &lt;= AB$116) * (INT(FORECAST!$C$12:$C$475) &gt;= AB$116), 0), 0)), "")</f>
        <v/>
      </c>
      <c r="AC120" s="34" t="str" cm="1">
        <f t="array" ref="AC120">IFERROR(INDEX(FORECAST!$D$12:$D$475, MATCH(1, INDEX((ISNUMBER(SEARCH($B120, FORECAST!$A$12:$A$475))) * (INT(FORECAST!$B$12:$B$475) &lt;= AC$116) * (INT(FORECAST!$C$12:$C$475) &gt;= AC$116), 0), 0)), "")</f>
        <v/>
      </c>
      <c r="AD120" s="34" t="str" cm="1">
        <f t="array" ref="AD120">IFERROR(INDEX(FORECAST!$D$12:$D$475, MATCH(1, INDEX((ISNUMBER(SEARCH($B120, FORECAST!$A$12:$A$475))) * (INT(FORECAST!$B$12:$B$475) &lt;= AD$116) * (INT(FORECAST!$C$12:$C$475) &gt;= AD$116), 0), 0)), "")</f>
        <v/>
      </c>
      <c r="AE120" s="34" t="str" cm="1">
        <f t="array" ref="AE120">IFERROR(INDEX(FORECAST!$D$12:$D$475, MATCH(1, INDEX((ISNUMBER(SEARCH($B120, FORECAST!$A$12:$A$475))) * (INT(FORECAST!$B$12:$B$475) &lt;= AE$116) * (INT(FORECAST!$C$12:$C$475) &gt;= AE$116), 0), 0)), "")</f>
        <v>Garantizado</v>
      </c>
      <c r="AF120" s="34" t="str" cm="1">
        <f t="array" ref="AF120">IFERROR(INDEX(FORECAST!$D$12:$D$475, MATCH(1, INDEX((ISNUMBER(SEARCH($B120, FORECAST!$A$12:$A$475))) * (INT(FORECAST!$B$12:$B$475) &lt;= AF$116) * (INT(FORECAST!$C$12:$C$475) &gt;= AF$116), 0), 0)), "")</f>
        <v>Garantizado</v>
      </c>
      <c r="AG120" s="34" t="str" cm="1">
        <f t="array" ref="AG120">IFERROR(INDEX(FORECAST!$D$12:$D$475, MATCH(1, INDEX((ISNUMBER(SEARCH($B120, FORECAST!$A$12:$A$475))) * (INT(FORECAST!$B$12:$B$475) &lt;= AG$116) * (INT(FORECAST!$C$12:$C$475) &gt;= AG$116), 0), 0)), "")</f>
        <v>Garantizado</v>
      </c>
      <c r="AH120" s="16"/>
      <c r="AI120" s="2"/>
      <c r="AJ120" s="45">
        <f t="shared" si="9"/>
        <v>0.32258064516129031</v>
      </c>
      <c r="AL120" s="45">
        <f>COUNTIF('PLANNING 2026'!C117:AG123,"Garantizado")/COUNTA('PLANNING 2026'!C117:AG123)</f>
        <v>0.19354838709677419</v>
      </c>
    </row>
    <row r="121" spans="1:38" x14ac:dyDescent="0.25">
      <c r="A121" s="71"/>
      <c r="B121" s="26" t="s">
        <v>522</v>
      </c>
      <c r="C121" s="34" t="str" cm="1">
        <f t="array" ref="C121">IFERROR(INDEX(FORECAST!$D$12:$D$475, MATCH(1, INDEX((ISNUMBER(SEARCH($B121, FORECAST!$A$12:$A$475))) * (INT(FORECAST!$B$12:$B$475) &lt;= C$116) * (INT(FORECAST!$C$12:$C$475) &gt;= C$116), 0), 0)), "")</f>
        <v>Garantizado</v>
      </c>
      <c r="D121" s="34" t="str" cm="1">
        <f t="array" ref="D121">IFERROR(INDEX(FORECAST!$D$12:$D$475, MATCH(1, INDEX((ISNUMBER(SEARCH($B121, FORECAST!$A$12:$A$475))) * (INT(FORECAST!$B$12:$B$475) &lt;= D$116) * (INT(FORECAST!$C$12:$C$475) &gt;= D$116), 0), 0)), "")</f>
        <v>Garantizado</v>
      </c>
      <c r="E121" s="34" t="str" cm="1">
        <f t="array" ref="E121">IFERROR(INDEX(FORECAST!$D$12:$D$475, MATCH(1, INDEX((ISNUMBER(SEARCH($B121, FORECAST!$A$12:$A$475))) * (INT(FORECAST!$B$12:$B$475) &lt;= E$116) * (INT(FORECAST!$C$12:$C$475) &gt;= E$116), 0), 0)), "")</f>
        <v>Garantizado</v>
      </c>
      <c r="F121" s="34" t="str" cm="1">
        <f t="array" ref="F121">IFERROR(INDEX(FORECAST!$D$12:$D$475, MATCH(1, INDEX((ISNUMBER(SEARCH($B121, FORECAST!$A$12:$A$475))) * (INT(FORECAST!$B$12:$B$475) &lt;= F$116) * (INT(FORECAST!$C$12:$C$475) &gt;= F$116), 0), 0)), "")</f>
        <v/>
      </c>
      <c r="G121" s="34" t="str" cm="1">
        <f t="array" ref="G121">IFERROR(INDEX(FORECAST!$D$12:$D$475, MATCH(1, INDEX((ISNUMBER(SEARCH($B121, FORECAST!$A$12:$A$475))) * (INT(FORECAST!$B$12:$B$475) &lt;= G$116) * (INT(FORECAST!$C$12:$C$475) &gt;= G$116), 0), 0)), "")</f>
        <v/>
      </c>
      <c r="H121" s="34" t="str" cm="1">
        <f t="array" ref="H121">IFERROR(INDEX(FORECAST!$D$12:$D$475, MATCH(1, INDEX((ISNUMBER(SEARCH($B121, FORECAST!$A$12:$A$475))) * (INT(FORECAST!$B$12:$B$475) &lt;= H$116) * (INT(FORECAST!$C$12:$C$475) &gt;= H$116), 0), 0)), "")</f>
        <v/>
      </c>
      <c r="I121" s="34" t="str" cm="1">
        <f t="array" ref="I121">IFERROR(INDEX(FORECAST!$D$12:$D$475, MATCH(1, INDEX((ISNUMBER(SEARCH($B121, FORECAST!$A$12:$A$475))) * (INT(FORECAST!$B$12:$B$475) &lt;= I$116) * (INT(FORECAST!$C$12:$C$475) &gt;= I$116), 0), 0)), "")</f>
        <v/>
      </c>
      <c r="J121" s="34" t="str" cm="1">
        <f t="array" ref="J121">IFERROR(INDEX(FORECAST!$D$12:$D$475, MATCH(1, INDEX((ISNUMBER(SEARCH($B121, FORECAST!$A$12:$A$475))) * (INT(FORECAST!$B$12:$B$475) &lt;= J$116) * (INT(FORECAST!$C$12:$C$475) &gt;= J$116), 0), 0)), "")</f>
        <v/>
      </c>
      <c r="K121" s="34" t="str" cm="1">
        <f t="array" ref="K121">IFERROR(INDEX(FORECAST!$D$12:$D$475, MATCH(1, INDEX((ISNUMBER(SEARCH($B121, FORECAST!$A$12:$A$475))) * (INT(FORECAST!$B$12:$B$475) &lt;= K$116) * (INT(FORECAST!$C$12:$C$475) &gt;= K$116), 0), 0)), "")</f>
        <v/>
      </c>
      <c r="L121" s="34" t="str" cm="1">
        <f t="array" ref="L121">IFERROR(INDEX(FORECAST!$D$12:$D$475, MATCH(1, INDEX((ISNUMBER(SEARCH($B121, FORECAST!$A$12:$A$475))) * (INT(FORECAST!$B$12:$B$475) &lt;= L$116) * (INT(FORECAST!$C$12:$C$475) &gt;= L$116), 0), 0)), "")</f>
        <v/>
      </c>
      <c r="M121" s="34" t="str" cm="1">
        <f t="array" ref="M121">IFERROR(INDEX(FORECAST!$D$12:$D$475, MATCH(1, INDEX((ISNUMBER(SEARCH($B121, FORECAST!$A$12:$A$475))) * (INT(FORECAST!$B$12:$B$475) &lt;= M$116) * (INT(FORECAST!$C$12:$C$475) &gt;= M$116), 0), 0)), "")</f>
        <v/>
      </c>
      <c r="N121" s="34" t="str" cm="1">
        <f t="array" ref="N121">IFERROR(INDEX(FORECAST!$D$12:$D$475, MATCH(1, INDEX((ISNUMBER(SEARCH($B121, FORECAST!$A$12:$A$475))) * (INT(FORECAST!$B$12:$B$475) &lt;= N$116) * (INT(FORECAST!$C$12:$C$475) &gt;= N$116), 0), 0)), "")</f>
        <v/>
      </c>
      <c r="O121" s="34" t="str" cm="1">
        <f t="array" ref="O121">IFERROR(INDEX(FORECAST!$D$12:$D$475, MATCH(1, INDEX((ISNUMBER(SEARCH($B121, FORECAST!$A$12:$A$475))) * (INT(FORECAST!$B$12:$B$475) &lt;= O$116) * (INT(FORECAST!$C$12:$C$475) &gt;= O$116), 0), 0)), "")</f>
        <v/>
      </c>
      <c r="P121" s="34" t="str" cm="1">
        <f t="array" ref="P121">IFERROR(INDEX(FORECAST!$D$12:$D$475, MATCH(1, INDEX((ISNUMBER(SEARCH($B121, FORECAST!$A$12:$A$475))) * (INT(FORECAST!$B$12:$B$475) &lt;= P$116) * (INT(FORECAST!$C$12:$C$475) &gt;= P$116), 0), 0)), "")</f>
        <v/>
      </c>
      <c r="Q121" s="34" t="str" cm="1">
        <f t="array" ref="Q121">IFERROR(INDEX(FORECAST!$D$12:$D$475, MATCH(1, INDEX((ISNUMBER(SEARCH($B121, FORECAST!$A$12:$A$475))) * (INT(FORECAST!$B$12:$B$475) &lt;= Q$116) * (INT(FORECAST!$C$12:$C$475) &gt;= Q$116), 0), 0)), "")</f>
        <v/>
      </c>
      <c r="R121" s="34" t="str" cm="1">
        <f t="array" ref="R121">IFERROR(INDEX(FORECAST!$D$12:$D$475, MATCH(1, INDEX((ISNUMBER(SEARCH($B121, FORECAST!$A$12:$A$475))) * (INT(FORECAST!$B$12:$B$475) &lt;= R$116) * (INT(FORECAST!$C$12:$C$475) &gt;= R$116), 0), 0)), "")</f>
        <v/>
      </c>
      <c r="S121" s="34" t="str" cm="1">
        <f t="array" ref="S121">IFERROR(INDEX(FORECAST!$D$12:$D$475, MATCH(1, INDEX((ISNUMBER(SEARCH($B121, FORECAST!$A$12:$A$475))) * (INT(FORECAST!$B$12:$B$475) &lt;= S$116) * (INT(FORECAST!$C$12:$C$475) &gt;= S$116), 0), 0)), "")</f>
        <v/>
      </c>
      <c r="T121" s="34" t="str" cm="1">
        <f t="array" ref="T121">IFERROR(INDEX(FORECAST!$D$12:$D$475, MATCH(1, INDEX((ISNUMBER(SEARCH($B121, FORECAST!$A$12:$A$475))) * (INT(FORECAST!$B$12:$B$475) &lt;= T$116) * (INT(FORECAST!$C$12:$C$475) &gt;= T$116), 0), 0)), "")</f>
        <v/>
      </c>
      <c r="U121" s="34" t="str" cm="1">
        <f t="array" ref="U121">IFERROR(INDEX(FORECAST!$D$12:$D$475, MATCH(1, INDEX((ISNUMBER(SEARCH($B121, FORECAST!$A$12:$A$475))) * (INT(FORECAST!$B$12:$B$475) &lt;= U$116) * (INT(FORECAST!$C$12:$C$475) &gt;= U$116), 0), 0)), "")</f>
        <v>Presupuesto</v>
      </c>
      <c r="V121" s="34" t="str" cm="1">
        <f t="array" ref="V121">IFERROR(INDEX(FORECAST!$D$12:$D$475, MATCH(1, INDEX((ISNUMBER(SEARCH($B121, FORECAST!$A$12:$A$475))) * (INT(FORECAST!$B$12:$B$475) &lt;= V$116) * (INT(FORECAST!$C$12:$C$475) &gt;= V$116), 0), 0)), "")</f>
        <v>Presupuesto</v>
      </c>
      <c r="W121" s="34" t="str" cm="1">
        <f t="array" ref="W121">IFERROR(INDEX(FORECAST!$D$12:$D$475, MATCH(1, INDEX((ISNUMBER(SEARCH($B121, FORECAST!$A$12:$A$475))) * (INT(FORECAST!$B$12:$B$475) &lt;= W$116) * (INT(FORECAST!$C$12:$C$475) &gt;= W$116), 0), 0)), "")</f>
        <v>Presupuesto</v>
      </c>
      <c r="X121" s="34" t="str" cm="1">
        <f t="array" ref="X121">IFERROR(INDEX(FORECAST!$D$12:$D$475, MATCH(1, INDEX((ISNUMBER(SEARCH($B121, FORECAST!$A$12:$A$475))) * (INT(FORECAST!$B$12:$B$475) &lt;= X$116) * (INT(FORECAST!$C$12:$C$475) &gt;= X$116), 0), 0)), "")</f>
        <v>Presupuesto</v>
      </c>
      <c r="Y121" s="34" t="str" cm="1">
        <f t="array" ref="Y121">IFERROR(INDEX(FORECAST!$D$12:$D$475, MATCH(1, INDEX((ISNUMBER(SEARCH($B121, FORECAST!$A$12:$A$475))) * (INT(FORECAST!$B$12:$B$475) &lt;= Y$116) * (INT(FORECAST!$C$12:$C$475) &gt;= Y$116), 0), 0)), "")</f>
        <v>Presupuesto</v>
      </c>
      <c r="Z121" s="34" t="str" cm="1">
        <f t="array" ref="Z121">IFERROR(INDEX(FORECAST!$D$12:$D$475, MATCH(1, INDEX((ISNUMBER(SEARCH($B121, FORECAST!$A$12:$A$475))) * (INT(FORECAST!$B$12:$B$475) &lt;= Z$116) * (INT(FORECAST!$C$12:$C$475) &gt;= Z$116), 0), 0)), "")</f>
        <v>Presupuesto</v>
      </c>
      <c r="AA121" s="34" t="str" cm="1">
        <f t="array" ref="AA121">IFERROR(INDEX(FORECAST!$D$12:$D$475, MATCH(1, INDEX((ISNUMBER(SEARCH($B121, FORECAST!$A$12:$A$475))) * (INT(FORECAST!$B$12:$B$475) &lt;= AA$116) * (INT(FORECAST!$C$12:$C$475) &gt;= AA$116), 0), 0)), "")</f>
        <v>Presupuesto</v>
      </c>
      <c r="AB121" s="34" t="str" cm="1">
        <f t="array" ref="AB121">IFERROR(INDEX(FORECAST!$D$12:$D$475, MATCH(1, INDEX((ISNUMBER(SEARCH($B121, FORECAST!$A$12:$A$475))) * (INT(FORECAST!$B$12:$B$475) &lt;= AB$116) * (INT(FORECAST!$C$12:$C$475) &gt;= AB$116), 0), 0)), "")</f>
        <v/>
      </c>
      <c r="AC121" s="34" t="str" cm="1">
        <f t="array" ref="AC121">IFERROR(INDEX(FORECAST!$D$12:$D$475, MATCH(1, INDEX((ISNUMBER(SEARCH($B121, FORECAST!$A$12:$A$475))) * (INT(FORECAST!$B$12:$B$475) &lt;= AC$116) * (INT(FORECAST!$C$12:$C$475) &gt;= AC$116), 0), 0)), "")</f>
        <v/>
      </c>
      <c r="AD121" s="34" t="str" cm="1">
        <f t="array" ref="AD121">IFERROR(INDEX(FORECAST!$D$12:$D$475, MATCH(1, INDEX((ISNUMBER(SEARCH($B121, FORECAST!$A$12:$A$475))) * (INT(FORECAST!$B$12:$B$475) &lt;= AD$116) * (INT(FORECAST!$C$12:$C$475) &gt;= AD$116), 0), 0)), "")</f>
        <v/>
      </c>
      <c r="AE121" s="34" t="str" cm="1">
        <f t="array" ref="AE121">IFERROR(INDEX(FORECAST!$D$12:$D$475, MATCH(1, INDEX((ISNUMBER(SEARCH($B121, FORECAST!$A$12:$A$475))) * (INT(FORECAST!$B$12:$B$475) &lt;= AE$116) * (INT(FORECAST!$C$12:$C$475) &gt;= AE$116), 0), 0)), "")</f>
        <v>Garantizado</v>
      </c>
      <c r="AF121" s="34" t="str" cm="1">
        <f t="array" ref="AF121">IFERROR(INDEX(FORECAST!$D$12:$D$475, MATCH(1, INDEX((ISNUMBER(SEARCH($B121, FORECAST!$A$12:$A$475))) * (INT(FORECAST!$B$12:$B$475) &lt;= AF$116) * (INT(FORECAST!$C$12:$C$475) &gt;= AF$116), 0), 0)), "")</f>
        <v>Garantizado</v>
      </c>
      <c r="AG121" s="34" t="str" cm="1">
        <f t="array" ref="AG121">IFERROR(INDEX(FORECAST!$D$12:$D$475, MATCH(1, INDEX((ISNUMBER(SEARCH($B121, FORECAST!$A$12:$A$475))) * (INT(FORECAST!$B$12:$B$475) &lt;= AG$116) * (INT(FORECAST!$C$12:$C$475) &gt;= AG$116), 0), 0)), "")</f>
        <v>Garantizado</v>
      </c>
      <c r="AH121" s="2"/>
      <c r="AI121" s="2"/>
      <c r="AJ121" s="45">
        <f t="shared" si="9"/>
        <v>0.19354838709677419</v>
      </c>
    </row>
    <row r="122" spans="1:38" x14ac:dyDescent="0.25">
      <c r="A122" s="71"/>
      <c r="B122" s="26" t="s">
        <v>523</v>
      </c>
      <c r="C122" s="34" t="str" cm="1">
        <f t="array" ref="C122">IFERROR(INDEX(FORECAST!$D$12:$D$475, MATCH(1, INDEX((ISNUMBER(SEARCH($B122, FORECAST!$A$12:$A$475))) * (INT(FORECAST!$B$12:$B$475) &lt;= C$116) * (INT(FORECAST!$C$12:$C$475) &gt;= C$116), 0), 0)), "")</f>
        <v/>
      </c>
      <c r="D122" s="34" t="str" cm="1">
        <f t="array" ref="D122">IFERROR(INDEX(FORECAST!$D$12:$D$475, MATCH(1, INDEX((ISNUMBER(SEARCH($B122, FORECAST!$A$12:$A$475))) * (INT(FORECAST!$B$12:$B$475) &lt;= D$116) * (INT(FORECAST!$C$12:$C$475) &gt;= D$116), 0), 0)), "")</f>
        <v/>
      </c>
      <c r="E122" s="34" t="str" cm="1">
        <f t="array" ref="E122">IFERROR(INDEX(FORECAST!$D$12:$D$475, MATCH(1, INDEX((ISNUMBER(SEARCH($B122, FORECAST!$A$12:$A$475))) * (INT(FORECAST!$B$12:$B$475) &lt;= E$116) * (INT(FORECAST!$C$12:$C$475) &gt;= E$116), 0), 0)), "")</f>
        <v/>
      </c>
      <c r="F122" s="34" t="str" cm="1">
        <f t="array" ref="F122">IFERROR(INDEX(FORECAST!$D$12:$D$475, MATCH(1, INDEX((ISNUMBER(SEARCH($B122, FORECAST!$A$12:$A$475))) * (INT(FORECAST!$B$12:$B$475) &lt;= F$116) * (INT(FORECAST!$C$12:$C$475) &gt;= F$116), 0), 0)), "")</f>
        <v/>
      </c>
      <c r="G122" s="34" t="str" cm="1">
        <f t="array" ref="G122">IFERROR(INDEX(FORECAST!$D$12:$D$475, MATCH(1, INDEX((ISNUMBER(SEARCH($B122, FORECAST!$A$12:$A$475))) * (INT(FORECAST!$B$12:$B$475) &lt;= G$116) * (INT(FORECAST!$C$12:$C$475) &gt;= G$116), 0), 0)), "")</f>
        <v/>
      </c>
      <c r="H122" s="34" t="str" cm="1">
        <f t="array" ref="H122">IFERROR(INDEX(FORECAST!$D$12:$D$475, MATCH(1, INDEX((ISNUMBER(SEARCH($B122, FORECAST!$A$12:$A$475))) * (INT(FORECAST!$B$12:$B$475) &lt;= H$116) * (INT(FORECAST!$C$12:$C$475) &gt;= H$116), 0), 0)), "")</f>
        <v/>
      </c>
      <c r="I122" s="34" t="str" cm="1">
        <f t="array" ref="I122">IFERROR(INDEX(FORECAST!$D$12:$D$475, MATCH(1, INDEX((ISNUMBER(SEARCH($B122, FORECAST!$A$12:$A$475))) * (INT(FORECAST!$B$12:$B$475) &lt;= I$116) * (INT(FORECAST!$C$12:$C$475) &gt;= I$116), 0), 0)), "")</f>
        <v/>
      </c>
      <c r="J122" s="34" t="str" cm="1">
        <f t="array" ref="J122">IFERROR(INDEX(FORECAST!$D$12:$D$475, MATCH(1, INDEX((ISNUMBER(SEARCH($B122, FORECAST!$A$12:$A$475))) * (INT(FORECAST!$B$12:$B$475) &lt;= J$116) * (INT(FORECAST!$C$12:$C$475) &gt;= J$116), 0), 0)), "")</f>
        <v/>
      </c>
      <c r="K122" s="34" t="str" cm="1">
        <f t="array" ref="K122">IFERROR(INDEX(FORECAST!$D$12:$D$475, MATCH(1, INDEX((ISNUMBER(SEARCH($B122, FORECAST!$A$12:$A$475))) * (INT(FORECAST!$B$12:$B$475) &lt;= K$116) * (INT(FORECAST!$C$12:$C$475) &gt;= K$116), 0), 0)), "")</f>
        <v/>
      </c>
      <c r="L122" s="34" t="str" cm="1">
        <f t="array" ref="L122">IFERROR(INDEX(FORECAST!$D$12:$D$475, MATCH(1, INDEX((ISNUMBER(SEARCH($B122, FORECAST!$A$12:$A$475))) * (INT(FORECAST!$B$12:$B$475) &lt;= L$116) * (INT(FORECAST!$C$12:$C$475) &gt;= L$116), 0), 0)), "")</f>
        <v/>
      </c>
      <c r="M122" s="34" t="str" cm="1">
        <f t="array" ref="M122">IFERROR(INDEX(FORECAST!$D$12:$D$475, MATCH(1, INDEX((ISNUMBER(SEARCH($B122, FORECAST!$A$12:$A$475))) * (INT(FORECAST!$B$12:$B$475) &lt;= M$116) * (INT(FORECAST!$C$12:$C$475) &gt;= M$116), 0), 0)), "")</f>
        <v>Tentativo</v>
      </c>
      <c r="N122" s="34" t="str" cm="1">
        <f t="array" ref="N122">IFERROR(INDEX(FORECAST!$D$12:$D$475, MATCH(1, INDEX((ISNUMBER(SEARCH($B122, FORECAST!$A$12:$A$475))) * (INT(FORECAST!$B$12:$B$475) &lt;= N$116) * (INT(FORECAST!$C$12:$C$475) &gt;= N$116), 0), 0)), "")</f>
        <v>Tentativo</v>
      </c>
      <c r="O122" s="34" t="str" cm="1">
        <f t="array" ref="O122">IFERROR(INDEX(FORECAST!$D$12:$D$475, MATCH(1, INDEX((ISNUMBER(SEARCH($B122, FORECAST!$A$12:$A$475))) * (INT(FORECAST!$B$12:$B$475) &lt;= O$116) * (INT(FORECAST!$C$12:$C$475) &gt;= O$116), 0), 0)), "")</f>
        <v>Tentativo</v>
      </c>
      <c r="P122" s="34" t="str" cm="1">
        <f t="array" ref="P122">IFERROR(INDEX(FORECAST!$D$12:$D$475, MATCH(1, INDEX((ISNUMBER(SEARCH($B122, FORECAST!$A$12:$A$475))) * (INT(FORECAST!$B$12:$B$475) &lt;= P$116) * (INT(FORECAST!$C$12:$C$475) &gt;= P$116), 0), 0)), "")</f>
        <v>Tentativo</v>
      </c>
      <c r="Q122" s="34" t="str" cm="1">
        <f t="array" ref="Q122">IFERROR(INDEX(FORECAST!$D$12:$D$475, MATCH(1, INDEX((ISNUMBER(SEARCH($B122, FORECAST!$A$12:$A$475))) * (INT(FORECAST!$B$12:$B$475) &lt;= Q$116) * (INT(FORECAST!$C$12:$C$475) &gt;= Q$116), 0), 0)), "")</f>
        <v>Tentativo</v>
      </c>
      <c r="R122" s="34" t="str" cm="1">
        <f t="array" ref="R122">IFERROR(INDEX(FORECAST!$D$12:$D$475, MATCH(1, INDEX((ISNUMBER(SEARCH($B122, FORECAST!$A$12:$A$475))) * (INT(FORECAST!$B$12:$B$475) &lt;= R$116) * (INT(FORECAST!$C$12:$C$475) &gt;= R$116), 0), 0)), "")</f>
        <v>Tentativo</v>
      </c>
      <c r="S122" s="34" t="str" cm="1">
        <f t="array" ref="S122">IFERROR(INDEX(FORECAST!$D$12:$D$475, MATCH(1, INDEX((ISNUMBER(SEARCH($B122, FORECAST!$A$12:$A$475))) * (INT(FORECAST!$B$12:$B$475) &lt;= S$116) * (INT(FORECAST!$C$12:$C$475) &gt;= S$116), 0), 0)), "")</f>
        <v>Tentativo</v>
      </c>
      <c r="T122" s="34" t="str" cm="1">
        <f t="array" ref="T122">IFERROR(INDEX(FORECAST!$D$12:$D$475, MATCH(1, INDEX((ISNUMBER(SEARCH($B122, FORECAST!$A$12:$A$475))) * (INT(FORECAST!$B$12:$B$475) &lt;= T$116) * (INT(FORECAST!$C$12:$C$475) &gt;= T$116), 0), 0)), "")</f>
        <v>Tentativo</v>
      </c>
      <c r="U122" s="34" t="str" cm="1">
        <f t="array" ref="U122">IFERROR(INDEX(FORECAST!$D$12:$D$475, MATCH(1, INDEX((ISNUMBER(SEARCH($B122, FORECAST!$A$12:$A$475))) * (INT(FORECAST!$B$12:$B$475) &lt;= U$116) * (INT(FORECAST!$C$12:$C$475) &gt;= U$116), 0), 0)), "")</f>
        <v>Presupuesto</v>
      </c>
      <c r="V122" s="34" t="str" cm="1">
        <f t="array" ref="V122">IFERROR(INDEX(FORECAST!$D$12:$D$475, MATCH(1, INDEX((ISNUMBER(SEARCH($B122, FORECAST!$A$12:$A$475))) * (INT(FORECAST!$B$12:$B$475) &lt;= V$116) * (INT(FORECAST!$C$12:$C$475) &gt;= V$116), 0), 0)), "")</f>
        <v>Presupuesto</v>
      </c>
      <c r="W122" s="34" t="str" cm="1">
        <f t="array" ref="W122">IFERROR(INDEX(FORECAST!$D$12:$D$475, MATCH(1, INDEX((ISNUMBER(SEARCH($B122, FORECAST!$A$12:$A$475))) * (INT(FORECAST!$B$12:$B$475) &lt;= W$116) * (INT(FORECAST!$C$12:$C$475) &gt;= W$116), 0), 0)), "")</f>
        <v>Presupuesto</v>
      </c>
      <c r="X122" s="34" t="str" cm="1">
        <f t="array" ref="X122">IFERROR(INDEX(FORECAST!$D$12:$D$475, MATCH(1, INDEX((ISNUMBER(SEARCH($B122, FORECAST!$A$12:$A$475))) * (INT(FORECAST!$B$12:$B$475) &lt;= X$116) * (INT(FORECAST!$C$12:$C$475) &gt;= X$116), 0), 0)), "")</f>
        <v>Presupuesto</v>
      </c>
      <c r="Y122" s="34" t="str" cm="1">
        <f t="array" ref="Y122">IFERROR(INDEX(FORECAST!$D$12:$D$475, MATCH(1, INDEX((ISNUMBER(SEARCH($B122, FORECAST!$A$12:$A$475))) * (INT(FORECAST!$B$12:$B$475) &lt;= Y$116) * (INT(FORECAST!$C$12:$C$475) &gt;= Y$116), 0), 0)), "")</f>
        <v>Presupuesto</v>
      </c>
      <c r="Z122" s="34" t="str" cm="1">
        <f t="array" ref="Z122">IFERROR(INDEX(FORECAST!$D$12:$D$475, MATCH(1, INDEX((ISNUMBER(SEARCH($B122, FORECAST!$A$12:$A$475))) * (INT(FORECAST!$B$12:$B$475) &lt;= Z$116) * (INT(FORECAST!$C$12:$C$475) &gt;= Z$116), 0), 0)), "")</f>
        <v>Presupuesto</v>
      </c>
      <c r="AA122" s="34" t="str" cm="1">
        <f t="array" ref="AA122">IFERROR(INDEX(FORECAST!$D$12:$D$475, MATCH(1, INDEX((ISNUMBER(SEARCH($B122, FORECAST!$A$12:$A$475))) * (INT(FORECAST!$B$12:$B$475) &lt;= AA$116) * (INT(FORECAST!$C$12:$C$475) &gt;= AA$116), 0), 0)), "")</f>
        <v>Presupuesto</v>
      </c>
      <c r="AB122" s="34" t="str" cm="1">
        <f t="array" ref="AB122">IFERROR(INDEX(FORECAST!$D$12:$D$475, MATCH(1, INDEX((ISNUMBER(SEARCH($B122, FORECAST!$A$12:$A$475))) * (INT(FORECAST!$B$12:$B$475) &lt;= AB$116) * (INT(FORECAST!$C$12:$C$475) &gt;= AB$116), 0), 0)), "")</f>
        <v/>
      </c>
      <c r="AC122" s="34" t="str" cm="1">
        <f t="array" ref="AC122">IFERROR(INDEX(FORECAST!$D$12:$D$475, MATCH(1, INDEX((ISNUMBER(SEARCH($B122, FORECAST!$A$12:$A$475))) * (INT(FORECAST!$B$12:$B$475) &lt;= AC$116) * (INT(FORECAST!$C$12:$C$475) &gt;= AC$116), 0), 0)), "")</f>
        <v/>
      </c>
      <c r="AD122" s="34" t="str" cm="1">
        <f t="array" ref="AD122">IFERROR(INDEX(FORECAST!$D$12:$D$475, MATCH(1, INDEX((ISNUMBER(SEARCH($B122, FORECAST!$A$12:$A$475))) * (INT(FORECAST!$B$12:$B$475) &lt;= AD$116) * (INT(FORECAST!$C$12:$C$475) &gt;= AD$116), 0), 0)), "")</f>
        <v/>
      </c>
      <c r="AE122" s="34" t="str" cm="1">
        <f t="array" ref="AE122">IFERROR(INDEX(FORECAST!$D$12:$D$475, MATCH(1, INDEX((ISNUMBER(SEARCH($B122, FORECAST!$A$12:$A$475))) * (INT(FORECAST!$B$12:$B$475) &lt;= AE$116) * (INT(FORECAST!$C$12:$C$475) &gt;= AE$116), 0), 0)), "")</f>
        <v/>
      </c>
      <c r="AF122" s="34" t="str" cm="1">
        <f t="array" ref="AF122">IFERROR(INDEX(FORECAST!$D$12:$D$475, MATCH(1, INDEX((ISNUMBER(SEARCH($B122, FORECAST!$A$12:$A$475))) * (INT(FORECAST!$B$12:$B$475) &lt;= AF$116) * (INT(FORECAST!$C$12:$C$475) &gt;= AF$116), 0), 0)), "")</f>
        <v/>
      </c>
      <c r="AG122" s="34" t="str" cm="1">
        <f t="array" ref="AG122">IFERROR(INDEX(FORECAST!$D$12:$D$475, MATCH(1, INDEX((ISNUMBER(SEARCH($B122, FORECAST!$A$12:$A$475))) * (INT(FORECAST!$B$12:$B$475) &lt;= AG$116) * (INT(FORECAST!$C$12:$C$475) &gt;= AG$116), 0), 0)), "")</f>
        <v>Garantizado</v>
      </c>
      <c r="AH122" s="9"/>
      <c r="AI122" s="37"/>
      <c r="AJ122" s="45">
        <f t="shared" si="9"/>
        <v>3.2258064516129031E-2</v>
      </c>
    </row>
    <row r="123" spans="1:38" x14ac:dyDescent="0.25">
      <c r="A123" s="71"/>
      <c r="B123" s="26" t="s">
        <v>9</v>
      </c>
      <c r="C123" s="34" t="str" cm="1">
        <f t="array" ref="C123">IFERROR(INDEX(FORECAST!$D$12:$D$475, MATCH(1, INDEX((ISNUMBER(SEARCH($B123, FORECAST!$A$12:$A$475))) * (INT(FORECAST!$B$12:$B$475) &lt;= C$116) * (INT(FORECAST!$C$12:$C$475) &gt;= C$116), 0), 0)), "")</f>
        <v/>
      </c>
      <c r="D123" s="34" t="str" cm="1">
        <f t="array" ref="D123">IFERROR(INDEX(FORECAST!$D$12:$D$475, MATCH(1, INDEX((ISNUMBER(SEARCH($B123, FORECAST!$A$12:$A$475))) * (INT(FORECAST!$B$12:$B$475) &lt;= D$116) * (INT(FORECAST!$C$12:$C$475) &gt;= D$116), 0), 0)), "")</f>
        <v/>
      </c>
      <c r="E123" s="34" t="str" cm="1">
        <f t="array" ref="E123">IFERROR(INDEX(FORECAST!$D$12:$D$475, MATCH(1, INDEX((ISNUMBER(SEARCH($B123, FORECAST!$A$12:$A$475))) * (INT(FORECAST!$B$12:$B$475) &lt;= E$116) * (INT(FORECAST!$C$12:$C$475) &gt;= E$116), 0), 0)), "")</f>
        <v/>
      </c>
      <c r="F123" s="34" t="str" cm="1">
        <f t="array" ref="F123">IFERROR(INDEX(FORECAST!$D$12:$D$475, MATCH(1, INDEX((ISNUMBER(SEARCH($B123, FORECAST!$A$12:$A$475))) * (INT(FORECAST!$B$12:$B$475) &lt;= F$116) * (INT(FORECAST!$C$12:$C$475) &gt;= F$116), 0), 0)), "")</f>
        <v/>
      </c>
      <c r="G123" s="34" t="str" cm="1">
        <f t="array" ref="G123">IFERROR(INDEX(FORECAST!$D$12:$D$475, MATCH(1, INDEX((ISNUMBER(SEARCH($B123, FORECAST!$A$12:$A$475))) * (INT(FORECAST!$B$12:$B$475) &lt;= G$116) * (INT(FORECAST!$C$12:$C$475) &gt;= G$116), 0), 0)), "")</f>
        <v/>
      </c>
      <c r="H123" s="34" t="str" cm="1">
        <f t="array" ref="H123">IFERROR(INDEX(FORECAST!$D$12:$D$475, MATCH(1, INDEX((ISNUMBER(SEARCH($B123, FORECAST!$A$12:$A$475))) * (INT(FORECAST!$B$12:$B$475) &lt;= H$116) * (INT(FORECAST!$C$12:$C$475) &gt;= H$116), 0), 0)), "")</f>
        <v/>
      </c>
      <c r="I123" s="34" t="str" cm="1">
        <f t="array" ref="I123">IFERROR(INDEX(FORECAST!$D$12:$D$475, MATCH(1, INDEX((ISNUMBER(SEARCH($B123, FORECAST!$A$12:$A$475))) * (INT(FORECAST!$B$12:$B$475) &lt;= I$116) * (INT(FORECAST!$C$12:$C$475) &gt;= I$116), 0), 0)), "")</f>
        <v/>
      </c>
      <c r="J123" s="34" t="str" cm="1">
        <f t="array" ref="J123">IFERROR(INDEX(FORECAST!$D$12:$D$475, MATCH(1, INDEX((ISNUMBER(SEARCH($B123, FORECAST!$A$12:$A$475))) * (INT(FORECAST!$B$12:$B$475) &lt;= J$116) * (INT(FORECAST!$C$12:$C$475) &gt;= J$116), 0), 0)), "")</f>
        <v/>
      </c>
      <c r="K123" s="34" t="str" cm="1">
        <f t="array" ref="K123">IFERROR(INDEX(FORECAST!$D$12:$D$475, MATCH(1, INDEX((ISNUMBER(SEARCH($B123, FORECAST!$A$12:$A$475))) * (INT(FORECAST!$B$12:$B$475) &lt;= K$116) * (INT(FORECAST!$C$12:$C$475) &gt;= K$116), 0), 0)), "")</f>
        <v/>
      </c>
      <c r="L123" s="34" t="str" cm="1">
        <f t="array" ref="L123">IFERROR(INDEX(FORECAST!$D$12:$D$475, MATCH(1, INDEX((ISNUMBER(SEARCH($B123, FORECAST!$A$12:$A$475))) * (INT(FORECAST!$B$12:$B$475) &lt;= L$116) * (INT(FORECAST!$C$12:$C$475) &gt;= L$116), 0), 0)), "")</f>
        <v>Garantizado</v>
      </c>
      <c r="M123" s="34" t="str" cm="1">
        <f t="array" ref="M123">IFERROR(INDEX(FORECAST!$D$12:$D$475, MATCH(1, INDEX((ISNUMBER(SEARCH($B123, FORECAST!$A$12:$A$475))) * (INT(FORECAST!$B$12:$B$475) &lt;= M$116) * (INT(FORECAST!$C$12:$C$475) &gt;= M$116), 0), 0)), "")</f>
        <v/>
      </c>
      <c r="N123" s="34" t="str" cm="1">
        <f t="array" ref="N123">IFERROR(INDEX(FORECAST!$D$12:$D$475, MATCH(1, INDEX((ISNUMBER(SEARCH($B123, FORECAST!$A$12:$A$475))) * (INT(FORECAST!$B$12:$B$475) &lt;= N$116) * (INT(FORECAST!$C$12:$C$475) &gt;= N$116), 0), 0)), "")</f>
        <v/>
      </c>
      <c r="O123" s="34" t="str" cm="1">
        <f t="array" ref="O123">IFERROR(INDEX(FORECAST!$D$12:$D$475, MATCH(1, INDEX((ISNUMBER(SEARCH($B123, FORECAST!$A$12:$A$475))) * (INT(FORECAST!$B$12:$B$475) &lt;= O$116) * (INT(FORECAST!$C$12:$C$475) &gt;= O$116), 0), 0)), "")</f>
        <v/>
      </c>
      <c r="P123" s="34" t="str" cm="1">
        <f t="array" ref="P123">IFERROR(INDEX(FORECAST!$D$12:$D$475, MATCH(1, INDEX((ISNUMBER(SEARCH($B123, FORECAST!$A$12:$A$475))) * (INT(FORECAST!$B$12:$B$475) &lt;= P$116) * (INT(FORECAST!$C$12:$C$475) &gt;= P$116), 0), 0)), "")</f>
        <v/>
      </c>
      <c r="Q123" s="34" t="str" cm="1">
        <f t="array" ref="Q123">IFERROR(INDEX(FORECAST!$D$12:$D$475, MATCH(1, INDEX((ISNUMBER(SEARCH($B123, FORECAST!$A$12:$A$475))) * (INT(FORECAST!$B$12:$B$475) &lt;= Q$116) * (INT(FORECAST!$C$12:$C$475) &gt;= Q$116), 0), 0)), "")</f>
        <v/>
      </c>
      <c r="R123" s="34" t="str" cm="1">
        <f t="array" ref="R123">IFERROR(INDEX(FORECAST!$D$12:$D$475, MATCH(1, INDEX((ISNUMBER(SEARCH($B123, FORECAST!$A$12:$A$475))) * (INT(FORECAST!$B$12:$B$475) &lt;= R$116) * (INT(FORECAST!$C$12:$C$475) &gt;= R$116), 0), 0)), "")</f>
        <v/>
      </c>
      <c r="S123" s="34" t="str" cm="1">
        <f t="array" ref="S123">IFERROR(INDEX(FORECAST!$D$12:$D$475, MATCH(1, INDEX((ISNUMBER(SEARCH($B123, FORECAST!$A$12:$A$475))) * (INT(FORECAST!$B$12:$B$475) &lt;= S$116) * (INT(FORECAST!$C$12:$C$475) &gt;= S$116), 0), 0)), "")</f>
        <v/>
      </c>
      <c r="T123" s="34" t="str" cm="1">
        <f t="array" ref="T123">IFERROR(INDEX(FORECAST!$D$12:$D$475, MATCH(1, INDEX((ISNUMBER(SEARCH($B123, FORECAST!$A$12:$A$475))) * (INT(FORECAST!$B$12:$B$475) &lt;= T$116) * (INT(FORECAST!$C$12:$C$475) &gt;= T$116), 0), 0)), "")</f>
        <v/>
      </c>
      <c r="U123" s="34" t="str" cm="1">
        <f t="array" ref="U123">IFERROR(INDEX(FORECAST!$D$12:$D$475, MATCH(1, INDEX((ISNUMBER(SEARCH($B123, FORECAST!$A$12:$A$475))) * (INT(FORECAST!$B$12:$B$475) &lt;= U$116) * (INT(FORECAST!$C$12:$C$475) &gt;= U$116), 0), 0)), "")</f>
        <v>Presupuesto</v>
      </c>
      <c r="V123" s="34" t="str" cm="1">
        <f t="array" ref="V123">IFERROR(INDEX(FORECAST!$D$12:$D$475, MATCH(1, INDEX((ISNUMBER(SEARCH($B123, FORECAST!$A$12:$A$475))) * (INT(FORECAST!$B$12:$B$475) &lt;= V$116) * (INT(FORECAST!$C$12:$C$475) &gt;= V$116), 0), 0)), "")</f>
        <v>Presupuesto</v>
      </c>
      <c r="W123" s="34" t="str" cm="1">
        <f t="array" ref="W123">IFERROR(INDEX(FORECAST!$D$12:$D$475, MATCH(1, INDEX((ISNUMBER(SEARCH($B123, FORECAST!$A$12:$A$475))) * (INT(FORECAST!$B$12:$B$475) &lt;= W$116) * (INT(FORECAST!$C$12:$C$475) &gt;= W$116), 0), 0)), "")</f>
        <v>Presupuesto</v>
      </c>
      <c r="X123" s="34" t="str" cm="1">
        <f t="array" ref="X123">IFERROR(INDEX(FORECAST!$D$12:$D$475, MATCH(1, INDEX((ISNUMBER(SEARCH($B123, FORECAST!$A$12:$A$475))) * (INT(FORECAST!$B$12:$B$475) &lt;= X$116) * (INT(FORECAST!$C$12:$C$475) &gt;= X$116), 0), 0)), "")</f>
        <v>Presupuesto</v>
      </c>
      <c r="Y123" s="34" t="str" cm="1">
        <f t="array" ref="Y123">IFERROR(INDEX(FORECAST!$D$12:$D$475, MATCH(1, INDEX((ISNUMBER(SEARCH($B123, FORECAST!$A$12:$A$475))) * (INT(FORECAST!$B$12:$B$475) &lt;= Y$116) * (INT(FORECAST!$C$12:$C$475) &gt;= Y$116), 0), 0)), "")</f>
        <v>Presupuesto</v>
      </c>
      <c r="Z123" s="34" t="str" cm="1">
        <f t="array" ref="Z123">IFERROR(INDEX(FORECAST!$D$12:$D$475, MATCH(1, INDEX((ISNUMBER(SEARCH($B123, FORECAST!$A$12:$A$475))) * (INT(FORECAST!$B$12:$B$475) &lt;= Z$116) * (INT(FORECAST!$C$12:$C$475) &gt;= Z$116), 0), 0)), "")</f>
        <v>Presupuesto</v>
      </c>
      <c r="AA123" s="34" t="str" cm="1">
        <f t="array" ref="AA123">IFERROR(INDEX(FORECAST!$D$12:$D$475, MATCH(1, INDEX((ISNUMBER(SEARCH($B123, FORECAST!$A$12:$A$475))) * (INT(FORECAST!$B$12:$B$475) &lt;= AA$116) * (INT(FORECAST!$C$12:$C$475) &gt;= AA$116), 0), 0)), "")</f>
        <v>Presupuesto</v>
      </c>
      <c r="AB123" s="34" t="str" cm="1">
        <f t="array" ref="AB123">IFERROR(INDEX(FORECAST!$D$12:$D$475, MATCH(1, INDEX((ISNUMBER(SEARCH($B123, FORECAST!$A$12:$A$475))) * (INT(FORECAST!$B$12:$B$475) &lt;= AB$116) * (INT(FORECAST!$C$12:$C$475) &gt;= AB$116), 0), 0)), "")</f>
        <v/>
      </c>
      <c r="AC123" s="34" t="str" cm="1">
        <f t="array" ref="AC123">IFERROR(INDEX(FORECAST!$D$12:$D$475, MATCH(1, INDEX((ISNUMBER(SEARCH($B123, FORECAST!$A$12:$A$475))) * (INT(FORECAST!$B$12:$B$475) &lt;= AC$116) * (INT(FORECAST!$C$12:$C$475) &gt;= AC$116), 0), 0)), "")</f>
        <v/>
      </c>
      <c r="AD123" s="34" t="str" cm="1">
        <f t="array" ref="AD123">IFERROR(INDEX(FORECAST!$D$12:$D$475, MATCH(1, INDEX((ISNUMBER(SEARCH($B123, FORECAST!$A$12:$A$475))) * (INT(FORECAST!$B$12:$B$475) &lt;= AD$116) * (INT(FORECAST!$C$12:$C$475) &gt;= AD$116), 0), 0)), "")</f>
        <v/>
      </c>
      <c r="AE123" s="34" t="str" cm="1">
        <f t="array" ref="AE123">IFERROR(INDEX(FORECAST!$D$12:$D$475, MATCH(1, INDEX((ISNUMBER(SEARCH($B123, FORECAST!$A$12:$A$475))) * (INT(FORECAST!$B$12:$B$475) &lt;= AE$116) * (INT(FORECAST!$C$12:$C$475) &gt;= AE$116), 0), 0)), "")</f>
        <v/>
      </c>
      <c r="AF123" s="34" t="str" cm="1">
        <f t="array" ref="AF123">IFERROR(INDEX(FORECAST!$D$12:$D$475, MATCH(1, INDEX((ISNUMBER(SEARCH($B123, FORECAST!$A$12:$A$475))) * (INT(FORECAST!$B$12:$B$475) &lt;= AF$116) * (INT(FORECAST!$C$12:$C$475) &gt;= AF$116), 0), 0)), "")</f>
        <v/>
      </c>
      <c r="AG123" s="34" t="str" cm="1">
        <f t="array" ref="AG123">IFERROR(INDEX(FORECAST!$D$12:$D$475, MATCH(1, INDEX((ISNUMBER(SEARCH($B123, FORECAST!$A$12:$A$475))) * (INT(FORECAST!$B$12:$B$475) &lt;= AG$116) * (INT(FORECAST!$C$12:$C$475) &gt;= AG$116), 0), 0)), "")</f>
        <v/>
      </c>
      <c r="AH123" s="9"/>
      <c r="AI123" s="2"/>
      <c r="AJ123" s="45">
        <f t="shared" si="9"/>
        <v>3.2258064516129031E-2</v>
      </c>
    </row>
    <row r="124" spans="1:38" x14ac:dyDescent="0.25">
      <c r="A124" s="72"/>
      <c r="B124" s="26" t="s">
        <v>80</v>
      </c>
      <c r="C124" s="34" t="str" cm="1">
        <f t="array" ref="C124">IFERROR(INDEX(FORECAST!$D$12:$D$475, MATCH(1, INDEX((ISNUMBER(SEARCH($B124, FORECAST!$A$12:$A$475))) * (INT(FORECAST!$B$12:$B$475) &lt;= C$116) * (INT(FORECAST!$C$12:$C$475) &gt;= C$116), 0), 0)), "")</f>
        <v/>
      </c>
      <c r="D124" s="34" t="str" cm="1">
        <f t="array" ref="D124">IFERROR(INDEX(FORECAST!$D$12:$D$475, MATCH(1, INDEX((ISNUMBER(SEARCH($B124, FORECAST!$A$12:$A$475))) * (INT(FORECAST!$B$12:$B$475) &lt;= D$116) * (INT(FORECAST!$C$12:$C$475) &gt;= D$116), 0), 0)), "")</f>
        <v/>
      </c>
      <c r="E124" s="34" t="str" cm="1">
        <f t="array" ref="E124">IFERROR(INDEX(FORECAST!$D$12:$D$475, MATCH(1, INDEX((ISNUMBER(SEARCH($B124, FORECAST!$A$12:$A$475))) * (INT(FORECAST!$B$12:$B$475) &lt;= E$116) * (INT(FORECAST!$C$12:$C$475) &gt;= E$116), 0), 0)), "")</f>
        <v/>
      </c>
      <c r="F124" s="34" t="str" cm="1">
        <f t="array" ref="F124">IFERROR(INDEX(FORECAST!$D$12:$D$475, MATCH(1, INDEX((ISNUMBER(SEARCH($B124, FORECAST!$A$12:$A$475))) * (INT(FORECAST!$B$12:$B$475) &lt;= F$116) * (INT(FORECAST!$C$12:$C$475) &gt;= F$116), 0), 0)), "")</f>
        <v/>
      </c>
      <c r="G124" s="34" t="str" cm="1">
        <f t="array" ref="G124">IFERROR(INDEX(FORECAST!$D$12:$D$475, MATCH(1, INDEX((ISNUMBER(SEARCH($B124, FORECAST!$A$12:$A$475))) * (INT(FORECAST!$B$12:$B$475) &lt;= G$116) * (INT(FORECAST!$C$12:$C$475) &gt;= G$116), 0), 0)), "")</f>
        <v/>
      </c>
      <c r="H124" s="34" t="str" cm="1">
        <f t="array" ref="H124">IFERROR(INDEX(FORECAST!$D$12:$D$475, MATCH(1, INDEX((ISNUMBER(SEARCH($B124, FORECAST!$A$12:$A$475))) * (INT(FORECAST!$B$12:$B$475) &lt;= H$116) * (INT(FORECAST!$C$12:$C$475) &gt;= H$116), 0), 0)), "")</f>
        <v/>
      </c>
      <c r="I124" s="34" t="str" cm="1">
        <f t="array" ref="I124">IFERROR(INDEX(FORECAST!$D$12:$D$475, MATCH(1, INDEX((ISNUMBER(SEARCH($B124, FORECAST!$A$12:$A$475))) * (INT(FORECAST!$B$12:$B$475) &lt;= I$116) * (INT(FORECAST!$C$12:$C$475) &gt;= I$116), 0), 0)), "")</f>
        <v/>
      </c>
      <c r="J124" s="34" t="str" cm="1">
        <f t="array" ref="J124">IFERROR(INDEX(FORECAST!$D$12:$D$475, MATCH(1, INDEX((ISNUMBER(SEARCH($B124, FORECAST!$A$12:$A$475))) * (INT(FORECAST!$B$12:$B$475) &lt;= J$116) * (INT(FORECAST!$C$12:$C$475) &gt;= J$116), 0), 0)), "")</f>
        <v/>
      </c>
      <c r="K124" s="34" t="str" cm="1">
        <f t="array" ref="K124">IFERROR(INDEX(FORECAST!$D$12:$D$475, MATCH(1, INDEX((ISNUMBER(SEARCH($B124, FORECAST!$A$12:$A$475))) * (INT(FORECAST!$B$12:$B$475) &lt;= K$116) * (INT(FORECAST!$C$12:$C$475) &gt;= K$116), 0), 0)), "")</f>
        <v>Garantizado</v>
      </c>
      <c r="L124" s="34" t="str" cm="1">
        <f t="array" ref="L124">IFERROR(INDEX(FORECAST!$D$12:$D$475, MATCH(1, INDEX((ISNUMBER(SEARCH($B124, FORECAST!$A$12:$A$475))) * (INT(FORECAST!$B$12:$B$475) &lt;= L$116) * (INT(FORECAST!$C$12:$C$475) &gt;= L$116), 0), 0)), "")</f>
        <v>Garantizado</v>
      </c>
      <c r="M124" s="34" t="str" cm="1">
        <f t="array" ref="M124">IFERROR(INDEX(FORECAST!$D$12:$D$475, MATCH(1, INDEX((ISNUMBER(SEARCH($B124, FORECAST!$A$12:$A$475))) * (INT(FORECAST!$B$12:$B$475) &lt;= M$116) * (INT(FORECAST!$C$12:$C$475) &gt;= M$116), 0), 0)), "")</f>
        <v>Garantizado</v>
      </c>
      <c r="N124" s="34" t="str" cm="1">
        <f t="array" ref="N124">IFERROR(INDEX(FORECAST!$D$12:$D$475, MATCH(1, INDEX((ISNUMBER(SEARCH($B124, FORECAST!$A$12:$A$475))) * (INT(FORECAST!$B$12:$B$475) &lt;= N$116) * (INT(FORECAST!$C$12:$C$475) &gt;= N$116), 0), 0)), "")</f>
        <v/>
      </c>
      <c r="O124" s="34" t="str" cm="1">
        <f t="array" ref="O124">IFERROR(INDEX(FORECAST!$D$12:$D$475, MATCH(1, INDEX((ISNUMBER(SEARCH($B124, FORECAST!$A$12:$A$475))) * (INT(FORECAST!$B$12:$B$475) &lt;= O$116) * (INT(FORECAST!$C$12:$C$475) &gt;= O$116), 0), 0)), "")</f>
        <v/>
      </c>
      <c r="P124" s="34" t="str" cm="1">
        <f t="array" ref="P124">IFERROR(INDEX(FORECAST!$D$12:$D$475, MATCH(1, INDEX((ISNUMBER(SEARCH($B124, FORECAST!$A$12:$A$475))) * (INT(FORECAST!$B$12:$B$475) &lt;= P$116) * (INT(FORECAST!$C$12:$C$475) &gt;= P$116), 0), 0)), "")</f>
        <v/>
      </c>
      <c r="Q124" s="34" t="str" cm="1">
        <f t="array" ref="Q124">IFERROR(INDEX(FORECAST!$D$12:$D$475, MATCH(1, INDEX((ISNUMBER(SEARCH($B124, FORECAST!$A$12:$A$475))) * (INT(FORECAST!$B$12:$B$475) &lt;= Q$116) * (INT(FORECAST!$C$12:$C$475) &gt;= Q$116), 0), 0)), "")</f>
        <v/>
      </c>
      <c r="R124" s="34" t="str" cm="1">
        <f t="array" ref="R124">IFERROR(INDEX(FORECAST!$D$12:$D$475, MATCH(1, INDEX((ISNUMBER(SEARCH($B124, FORECAST!$A$12:$A$475))) * (INT(FORECAST!$B$12:$B$475) &lt;= R$116) * (INT(FORECAST!$C$12:$C$475) &gt;= R$116), 0), 0)), "")</f>
        <v/>
      </c>
      <c r="S124" s="34" t="str" cm="1">
        <f t="array" ref="S124">IFERROR(INDEX(FORECAST!$D$12:$D$475, MATCH(1, INDEX((ISNUMBER(SEARCH($B124, FORECAST!$A$12:$A$475))) * (INT(FORECAST!$B$12:$B$475) &lt;= S$116) * (INT(FORECAST!$C$12:$C$475) &gt;= S$116), 0), 0)), "")</f>
        <v/>
      </c>
      <c r="T124" s="34" t="str" cm="1">
        <f t="array" ref="T124">IFERROR(INDEX(FORECAST!$D$12:$D$475, MATCH(1, INDEX((ISNUMBER(SEARCH($B124, FORECAST!$A$12:$A$475))) * (INT(FORECAST!$B$12:$B$475) &lt;= T$116) * (INT(FORECAST!$C$12:$C$475) &gt;= T$116), 0), 0)), "")</f>
        <v/>
      </c>
      <c r="U124" s="34" t="str" cm="1">
        <f t="array" ref="U124">IFERROR(INDEX(FORECAST!$D$12:$D$475, MATCH(1, INDEX((ISNUMBER(SEARCH($B124, FORECAST!$A$12:$A$475))) * (INT(FORECAST!$B$12:$B$475) &lt;= U$116) * (INT(FORECAST!$C$12:$C$475) &gt;= U$116), 0), 0)), "")</f>
        <v>Presupuesto</v>
      </c>
      <c r="V124" s="34" t="str" cm="1">
        <f t="array" ref="V124">IFERROR(INDEX(FORECAST!$D$12:$D$475, MATCH(1, INDEX((ISNUMBER(SEARCH($B124, FORECAST!$A$12:$A$475))) * (INT(FORECAST!$B$12:$B$475) &lt;= V$116) * (INT(FORECAST!$C$12:$C$475) &gt;= V$116), 0), 0)), "")</f>
        <v>Presupuesto</v>
      </c>
      <c r="W124" s="34" t="str" cm="1">
        <f t="array" ref="W124">IFERROR(INDEX(FORECAST!$D$12:$D$475, MATCH(1, INDEX((ISNUMBER(SEARCH($B124, FORECAST!$A$12:$A$475))) * (INT(FORECAST!$B$12:$B$475) &lt;= W$116) * (INT(FORECAST!$C$12:$C$475) &gt;= W$116), 0), 0)), "")</f>
        <v>Presupuesto</v>
      </c>
      <c r="X124" s="34" t="str" cm="1">
        <f t="array" ref="X124">IFERROR(INDEX(FORECAST!$D$12:$D$475, MATCH(1, INDEX((ISNUMBER(SEARCH($B124, FORECAST!$A$12:$A$475))) * (INT(FORECAST!$B$12:$B$475) &lt;= X$116) * (INT(FORECAST!$C$12:$C$475) &gt;= X$116), 0), 0)), "")</f>
        <v>Presupuesto</v>
      </c>
      <c r="Y124" s="34" t="str" cm="1">
        <f t="array" ref="Y124">IFERROR(INDEX(FORECAST!$D$12:$D$475, MATCH(1, INDEX((ISNUMBER(SEARCH($B124, FORECAST!$A$12:$A$475))) * (INT(FORECAST!$B$12:$B$475) &lt;= Y$116) * (INT(FORECAST!$C$12:$C$475) &gt;= Y$116), 0), 0)), "")</f>
        <v/>
      </c>
      <c r="Z124" s="34" t="str" cm="1">
        <f t="array" ref="Z124">IFERROR(INDEX(FORECAST!$D$12:$D$475, MATCH(1, INDEX((ISNUMBER(SEARCH($B124, FORECAST!$A$12:$A$475))) * (INT(FORECAST!$B$12:$B$475) &lt;= Z$116) * (INT(FORECAST!$C$12:$C$475) &gt;= Z$116), 0), 0)), "")</f>
        <v/>
      </c>
      <c r="AA124" s="34" t="str" cm="1">
        <f t="array" ref="AA124">IFERROR(INDEX(FORECAST!$D$12:$D$475, MATCH(1, INDEX((ISNUMBER(SEARCH($B124, FORECAST!$A$12:$A$475))) * (INT(FORECAST!$B$12:$B$475) &lt;= AA$116) * (INT(FORECAST!$C$12:$C$475) &gt;= AA$116), 0), 0)), "")</f>
        <v/>
      </c>
      <c r="AB124" s="34" t="str" cm="1">
        <f t="array" ref="AB124">IFERROR(INDEX(FORECAST!$D$12:$D$475, MATCH(1, INDEX((ISNUMBER(SEARCH($B124, FORECAST!$A$12:$A$475))) * (INT(FORECAST!$B$12:$B$475) &lt;= AB$116) * (INT(FORECAST!$C$12:$C$475) &gt;= AB$116), 0), 0)), "")</f>
        <v/>
      </c>
      <c r="AC124" s="34" t="str" cm="1">
        <f t="array" ref="AC124">IFERROR(INDEX(FORECAST!$D$12:$D$475, MATCH(1, INDEX((ISNUMBER(SEARCH($B124, FORECAST!$A$12:$A$475))) * (INT(FORECAST!$B$12:$B$475) &lt;= AC$116) * (INT(FORECAST!$C$12:$C$475) &gt;= AC$116), 0), 0)), "")</f>
        <v/>
      </c>
      <c r="AD124" s="34" t="str" cm="1">
        <f t="array" ref="AD124">IFERROR(INDEX(FORECAST!$D$12:$D$475, MATCH(1, INDEX((ISNUMBER(SEARCH($B124, FORECAST!$A$12:$A$475))) * (INT(FORECAST!$B$12:$B$475) &lt;= AD$116) * (INT(FORECAST!$C$12:$C$475) &gt;= AD$116), 0), 0)), "")</f>
        <v/>
      </c>
      <c r="AE124" s="34" t="str" cm="1">
        <f t="array" ref="AE124">IFERROR(INDEX(FORECAST!$D$12:$D$475, MATCH(1, INDEX((ISNUMBER(SEARCH($B124, FORECAST!$A$12:$A$475))) * (INT(FORECAST!$B$12:$B$475) &lt;= AE$116) * (INT(FORECAST!$C$12:$C$475) &gt;= AE$116), 0), 0)), "")</f>
        <v/>
      </c>
      <c r="AF124" s="34" t="str" cm="1">
        <f t="array" ref="AF124">IFERROR(INDEX(FORECAST!$D$12:$D$475, MATCH(1, INDEX((ISNUMBER(SEARCH($B124, FORECAST!$A$12:$A$475))) * (INT(FORECAST!$B$12:$B$475) &lt;= AF$116) * (INT(FORECAST!$C$12:$C$475) &gt;= AF$116), 0), 0)), "")</f>
        <v/>
      </c>
      <c r="AG124" s="34" t="str" cm="1">
        <f t="array" ref="AG124">IFERROR(INDEX(FORECAST!$D$12:$D$475, MATCH(1, INDEX((ISNUMBER(SEARCH($B124, FORECAST!$A$12:$A$475))) * (INT(FORECAST!$B$12:$B$475) &lt;= AG$116) * (INT(FORECAST!$C$12:$C$475) &gt;= AG$116), 0), 0)), "")</f>
        <v/>
      </c>
      <c r="AH124" s="9"/>
      <c r="AI124" s="2"/>
      <c r="AJ124" s="45">
        <f t="shared" si="9"/>
        <v>9.6774193548387094E-2</v>
      </c>
    </row>
    <row r="125" spans="1:38" x14ac:dyDescent="0.25">
      <c r="A125" s="41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2"/>
      <c r="AJ125" s="18"/>
    </row>
    <row r="126" spans="1:38" x14ac:dyDescent="0.25">
      <c r="AF126" s="10"/>
      <c r="AG126" s="9"/>
      <c r="AH126" s="9"/>
      <c r="AI126" s="2"/>
    </row>
    <row r="127" spans="1:38" x14ac:dyDescent="0.25">
      <c r="C127" s="7" t="s">
        <v>505</v>
      </c>
      <c r="D127" s="1" t="s">
        <v>506</v>
      </c>
      <c r="E127" s="1" t="s">
        <v>507</v>
      </c>
      <c r="F127" s="1" t="s">
        <v>508</v>
      </c>
      <c r="G127" s="1" t="s">
        <v>502</v>
      </c>
      <c r="H127" s="1" t="s">
        <v>503</v>
      </c>
      <c r="I127" s="7" t="s">
        <v>504</v>
      </c>
      <c r="J127" s="7" t="s">
        <v>505</v>
      </c>
      <c r="K127" s="1" t="s">
        <v>506</v>
      </c>
      <c r="L127" s="1" t="s">
        <v>507</v>
      </c>
      <c r="M127" s="1" t="s">
        <v>508</v>
      </c>
      <c r="N127" s="1" t="s">
        <v>502</v>
      </c>
      <c r="O127" s="1" t="s">
        <v>503</v>
      </c>
      <c r="P127" s="7" t="s">
        <v>504</v>
      </c>
      <c r="Q127" s="7" t="s">
        <v>505</v>
      </c>
      <c r="R127" s="1" t="s">
        <v>506</v>
      </c>
      <c r="S127" s="1" t="s">
        <v>507</v>
      </c>
      <c r="T127" s="1" t="s">
        <v>508</v>
      </c>
      <c r="U127" s="1" t="s">
        <v>502</v>
      </c>
      <c r="V127" s="13" t="s">
        <v>503</v>
      </c>
      <c r="W127" s="7" t="s">
        <v>509</v>
      </c>
      <c r="X127" s="7" t="s">
        <v>510</v>
      </c>
      <c r="Y127" s="1" t="s">
        <v>511</v>
      </c>
      <c r="Z127" s="16" t="s">
        <v>512</v>
      </c>
      <c r="AA127" s="1" t="s">
        <v>513</v>
      </c>
      <c r="AB127" s="1" t="s">
        <v>514</v>
      </c>
      <c r="AC127" s="1" t="s">
        <v>515</v>
      </c>
      <c r="AD127" s="7" t="s">
        <v>509</v>
      </c>
      <c r="AE127" s="7" t="s">
        <v>510</v>
      </c>
      <c r="AF127" s="1" t="s">
        <v>511</v>
      </c>
      <c r="AG127" s="9"/>
      <c r="AH127" s="9"/>
      <c r="AI127" s="2"/>
    </row>
    <row r="128" spans="1:38" x14ac:dyDescent="0.25">
      <c r="C128" s="35">
        <v>46327</v>
      </c>
      <c r="D128" s="35">
        <v>46328</v>
      </c>
      <c r="E128" s="35">
        <v>46329</v>
      </c>
      <c r="F128" s="35">
        <v>46330</v>
      </c>
      <c r="G128" s="35">
        <v>46331</v>
      </c>
      <c r="H128" s="35">
        <v>46332</v>
      </c>
      <c r="I128" s="35">
        <v>46333</v>
      </c>
      <c r="J128" s="35">
        <v>46334</v>
      </c>
      <c r="K128" s="35">
        <v>46335</v>
      </c>
      <c r="L128" s="35">
        <v>46336</v>
      </c>
      <c r="M128" s="35">
        <v>46337</v>
      </c>
      <c r="N128" s="35">
        <v>46338</v>
      </c>
      <c r="O128" s="35">
        <v>46339</v>
      </c>
      <c r="P128" s="35">
        <v>46340</v>
      </c>
      <c r="Q128" s="35">
        <v>46341</v>
      </c>
      <c r="R128" s="35">
        <v>46342</v>
      </c>
      <c r="S128" s="35">
        <v>46343</v>
      </c>
      <c r="T128" s="35">
        <v>46344</v>
      </c>
      <c r="U128" s="35">
        <v>46345</v>
      </c>
      <c r="V128" s="35">
        <v>46346</v>
      </c>
      <c r="W128" s="35">
        <v>46347</v>
      </c>
      <c r="X128" s="35">
        <v>46348</v>
      </c>
      <c r="Y128" s="35">
        <v>46349</v>
      </c>
      <c r="Z128" s="35">
        <v>46350</v>
      </c>
      <c r="AA128" s="35">
        <v>46351</v>
      </c>
      <c r="AB128" s="35">
        <v>46352</v>
      </c>
      <c r="AC128" s="35">
        <v>46353</v>
      </c>
      <c r="AD128" s="35">
        <v>46354</v>
      </c>
      <c r="AE128" s="35">
        <v>46355</v>
      </c>
      <c r="AF128" s="35">
        <v>46356</v>
      </c>
      <c r="AG128" s="21"/>
      <c r="AH128" s="9"/>
      <c r="AI128" s="2"/>
      <c r="AJ128" s="22" t="s">
        <v>516</v>
      </c>
    </row>
    <row r="129" spans="1:38" ht="15" customHeight="1" x14ac:dyDescent="0.25">
      <c r="A129" s="70" t="s">
        <v>534</v>
      </c>
      <c r="B129" s="25" t="s">
        <v>518</v>
      </c>
      <c r="C129" s="36" t="str" cm="1">
        <f t="array" ref="C129">IFERROR(INDEX(FORECAST!$D$12:$D$475, MATCH(1, INDEX((ISNUMBER(SEARCH($B129, FORECAST!$A$12:$A$475))) * (INT(FORECAST!$B$12:$B$475) &lt;= C$128) * (INT(FORECAST!$C$12:$C$475) &gt;= C$128), 0), 0)), "")</f>
        <v/>
      </c>
      <c r="D129" s="36" t="str" cm="1">
        <f t="array" ref="D129">IFERROR(INDEX(FORECAST!$D$12:$D$475, MATCH(1, INDEX((ISNUMBER(SEARCH($B129, FORECAST!$A$12:$A$475))) * (INT(FORECAST!$B$12:$B$475) &lt;= D$128) * (INT(FORECAST!$C$12:$C$475) &gt;= D$128), 0), 0)), "")</f>
        <v>Garantizado</v>
      </c>
      <c r="E129" s="36" t="str" cm="1">
        <f t="array" ref="E129">IFERROR(INDEX(FORECAST!$D$12:$D$475, MATCH(1, INDEX((ISNUMBER(SEARCH($B129, FORECAST!$A$12:$A$475))) * (INT(FORECAST!$B$12:$B$475) &lt;= E$128) * (INT(FORECAST!$C$12:$C$475) &gt;= E$128), 0), 0)), "")</f>
        <v>Garantizado</v>
      </c>
      <c r="F129" s="36" t="str" cm="1">
        <f t="array" ref="F129">IFERROR(INDEX(FORECAST!$D$12:$D$475, MATCH(1, INDEX((ISNUMBER(SEARCH($B129, FORECAST!$A$12:$A$475))) * (INT(FORECAST!$B$12:$B$475) &lt;= F$128) * (INT(FORECAST!$C$12:$C$475) &gt;= F$128), 0), 0)), "")</f>
        <v>Garantizado</v>
      </c>
      <c r="G129" s="36" t="str" cm="1">
        <f t="array" ref="G129">IFERROR(INDEX(FORECAST!$D$12:$D$475, MATCH(1, INDEX((ISNUMBER(SEARCH($B129, FORECAST!$A$12:$A$475))) * (INT(FORECAST!$B$12:$B$475) &lt;= G$128) * (INT(FORECAST!$C$12:$C$475) &gt;= G$128), 0), 0)), "")</f>
        <v>Garantizado</v>
      </c>
      <c r="H129" s="36" t="str" cm="1">
        <f t="array" ref="H129">IFERROR(INDEX(FORECAST!$D$12:$D$475, MATCH(1, INDEX((ISNUMBER(SEARCH($B129, FORECAST!$A$12:$A$475))) * (INT(FORECAST!$B$12:$B$475) &lt;= H$128) * (INT(FORECAST!$C$12:$C$475) &gt;= H$128), 0), 0)), "")</f>
        <v>Garantizado</v>
      </c>
      <c r="I129" s="36" t="str" cm="1">
        <f t="array" ref="I129">IFERROR(INDEX(FORECAST!$D$12:$D$475, MATCH(1, INDEX((ISNUMBER(SEARCH($B129, FORECAST!$A$12:$A$475))) * (INT(FORECAST!$B$12:$B$475) &lt;= I$128) * (INT(FORECAST!$C$12:$C$475) &gt;= I$128), 0), 0)), "")</f>
        <v>Garantizado</v>
      </c>
      <c r="J129" s="36" t="str" cm="1">
        <f t="array" ref="J129">IFERROR(INDEX(FORECAST!$D$12:$D$475, MATCH(1, INDEX((ISNUMBER(SEARCH($B129, FORECAST!$A$12:$A$475))) * (INT(FORECAST!$B$12:$B$475) &lt;= J$128) * (INT(FORECAST!$C$12:$C$475) &gt;= J$128), 0), 0)), "")</f>
        <v/>
      </c>
      <c r="K129" s="36" t="str" cm="1">
        <f t="array" ref="K129">IFERROR(INDEX(FORECAST!$D$12:$D$475, MATCH(1, INDEX((ISNUMBER(SEARCH($B129, FORECAST!$A$12:$A$475))) * (INT(FORECAST!$B$12:$B$475) &lt;= K$128) * (INT(FORECAST!$C$12:$C$475) &gt;= K$128), 0), 0)), "")</f>
        <v/>
      </c>
      <c r="L129" s="36" t="str" cm="1">
        <f t="array" ref="L129">IFERROR(INDEX(FORECAST!$D$12:$D$475, MATCH(1, INDEX((ISNUMBER(SEARCH($B129, FORECAST!$A$12:$A$475))) * (INT(FORECAST!$B$12:$B$475) &lt;= L$128) * (INT(FORECAST!$C$12:$C$475) &gt;= L$128), 0), 0)), "")</f>
        <v>Tentativo</v>
      </c>
      <c r="M129" s="36" t="str" cm="1">
        <f t="array" ref="M129">IFERROR(INDEX(FORECAST!$D$12:$D$475, MATCH(1, INDEX((ISNUMBER(SEARCH($B129, FORECAST!$A$12:$A$475))) * (INT(FORECAST!$B$12:$B$475) &lt;= M$128) * (INT(FORECAST!$C$12:$C$475) &gt;= M$128), 0), 0)), "")</f>
        <v>Tentativo</v>
      </c>
      <c r="N129" s="36" t="str" cm="1">
        <f t="array" ref="N129">IFERROR(INDEX(FORECAST!$D$12:$D$475, MATCH(1, INDEX((ISNUMBER(SEARCH($B129, FORECAST!$A$12:$A$475))) * (INT(FORECAST!$B$12:$B$475) &lt;= N$128) * (INT(FORECAST!$C$12:$C$475) &gt;= N$128), 0), 0)), "")</f>
        <v>Tentativo</v>
      </c>
      <c r="O129" s="36" t="str" cm="1">
        <f t="array" ref="O129">IFERROR(INDEX(FORECAST!$D$12:$D$475, MATCH(1, INDEX((ISNUMBER(SEARCH($B129, FORECAST!$A$12:$A$475))) * (INT(FORECAST!$B$12:$B$475) &lt;= O$128) * (INT(FORECAST!$C$12:$C$475) &gt;= O$128), 0), 0)), "")</f>
        <v>Tentativo</v>
      </c>
      <c r="P129" s="36" t="str" cm="1">
        <f t="array" ref="P129">IFERROR(INDEX(FORECAST!$D$12:$D$475, MATCH(1, INDEX((ISNUMBER(SEARCH($B129, FORECAST!$A$12:$A$475))) * (INT(FORECAST!$B$12:$B$475) &lt;= P$128) * (INT(FORECAST!$C$12:$C$475) &gt;= P$128), 0), 0)), "")</f>
        <v>Garantizado</v>
      </c>
      <c r="Q129" s="36" t="str" cm="1">
        <f t="array" ref="Q129">IFERROR(INDEX(FORECAST!$D$12:$D$475, MATCH(1, INDEX((ISNUMBER(SEARCH($B129, FORECAST!$A$12:$A$475))) * (INT(FORECAST!$B$12:$B$475) &lt;= Q$128) * (INT(FORECAST!$C$12:$C$475) &gt;= Q$128), 0), 0)), "")</f>
        <v/>
      </c>
      <c r="R129" s="36" t="str" cm="1">
        <f t="array" ref="R129">IFERROR(INDEX(FORECAST!$D$12:$D$475, MATCH(1, INDEX((ISNUMBER(SEARCH($B129, FORECAST!$A$12:$A$475))) * (INT(FORECAST!$B$12:$B$475) &lt;= R$128) * (INT(FORECAST!$C$12:$C$475) &gt;= R$128), 0), 0)), "")</f>
        <v/>
      </c>
      <c r="S129" s="36" t="str" cm="1">
        <f t="array" ref="S129">IFERROR(INDEX(FORECAST!$D$12:$D$475, MATCH(1, INDEX((ISNUMBER(SEARCH($B129, FORECAST!$A$12:$A$475))) * (INT(FORECAST!$B$12:$B$475) &lt;= S$128) * (INT(FORECAST!$C$12:$C$475) &gt;= S$128), 0), 0)), "")</f>
        <v>Tentativo</v>
      </c>
      <c r="T129" s="36" t="str" cm="1">
        <f t="array" ref="T129">IFERROR(INDEX(FORECAST!$D$12:$D$475, MATCH(1, INDEX((ISNUMBER(SEARCH($B129, FORECAST!$A$12:$A$475))) * (INT(FORECAST!$B$12:$B$475) &lt;= T$128) * (INT(FORECAST!$C$12:$C$475) &gt;= T$128), 0), 0)), "")</f>
        <v>Tentativo</v>
      </c>
      <c r="U129" s="36" t="str" cm="1">
        <f t="array" ref="U129">IFERROR(INDEX(FORECAST!$D$12:$D$475, MATCH(1, INDEX((ISNUMBER(SEARCH($B129, FORECAST!$A$12:$A$475))) * (INT(FORECAST!$B$12:$B$475) &lt;= U$128) * (INT(FORECAST!$C$12:$C$475) &gt;= U$128), 0), 0)), "")</f>
        <v>Garantizado</v>
      </c>
      <c r="V129" s="36" t="str" cm="1">
        <f t="array" ref="V129">IFERROR(INDEX(FORECAST!$D$12:$D$475, MATCH(1, INDEX((ISNUMBER(SEARCH($B129, FORECAST!$A$12:$A$475))) * (INT(FORECAST!$B$12:$B$475) &lt;= V$128) * (INT(FORECAST!$C$12:$C$475) &gt;= V$128), 0), 0)), "")</f>
        <v>Garantizado</v>
      </c>
      <c r="W129" s="36" t="str" cm="1">
        <f t="array" ref="W129">IFERROR(INDEX(FORECAST!$D$12:$D$475, MATCH(1, INDEX((ISNUMBER(SEARCH($B129, FORECAST!$A$12:$A$475))) * (INT(FORECAST!$B$12:$B$475) &lt;= W$128) * (INT(FORECAST!$C$12:$C$475) &gt;= W$128), 0), 0)), "")</f>
        <v>Garantizado</v>
      </c>
      <c r="X129" s="36" t="str" cm="1">
        <f t="array" ref="X129">IFERROR(INDEX(FORECAST!$D$12:$D$475, MATCH(1, INDEX((ISNUMBER(SEARCH($B129, FORECAST!$A$12:$A$475))) * (INT(FORECAST!$B$12:$B$475) &lt;= X$128) * (INT(FORECAST!$C$12:$C$475) &gt;= X$128), 0), 0)), "")</f>
        <v>Garantizado</v>
      </c>
      <c r="Y129" s="36" t="str" cm="1">
        <f t="array" ref="Y129">IFERROR(INDEX(FORECAST!$D$12:$D$475, MATCH(1, INDEX((ISNUMBER(SEARCH($B129, FORECAST!$A$12:$A$475))) * (INT(FORECAST!$B$12:$B$475) &lt;= Y$128) * (INT(FORECAST!$C$12:$C$475) &gt;= Y$128), 0), 0)), "")</f>
        <v/>
      </c>
      <c r="Z129" s="36" t="str" cm="1">
        <f t="array" ref="Z129">IFERROR(INDEX(FORECAST!$D$12:$D$475, MATCH(1, INDEX((ISNUMBER(SEARCH($B129, FORECAST!$A$12:$A$475))) * (INT(FORECAST!$B$12:$B$475) &lt;= Z$128) * (INT(FORECAST!$C$12:$C$475) &gt;= Z$128), 0), 0)), "")</f>
        <v>Presupuesto</v>
      </c>
      <c r="AA129" s="36" t="str" cm="1">
        <f t="array" ref="AA129">IFERROR(INDEX(FORECAST!$D$12:$D$475, MATCH(1, INDEX((ISNUMBER(SEARCH($B129, FORECAST!$A$12:$A$475))) * (INT(FORECAST!$B$12:$B$475) &lt;= AA$128) * (INT(FORECAST!$C$12:$C$475) &gt;= AA$128), 0), 0)), "")</f>
        <v>Tentativo</v>
      </c>
      <c r="AB129" s="36" t="str" cm="1">
        <f t="array" ref="AB129">IFERROR(INDEX(FORECAST!$D$12:$D$475, MATCH(1, INDEX((ISNUMBER(SEARCH($B129, FORECAST!$A$12:$A$475))) * (INT(FORECAST!$B$12:$B$475) &lt;= AB$128) * (INT(FORECAST!$C$12:$C$475) &gt;= AB$128), 0), 0)), "")</f>
        <v>Tentativo</v>
      </c>
      <c r="AC129" s="36" t="str" cm="1">
        <f t="array" ref="AC129">IFERROR(INDEX(FORECAST!$D$12:$D$475, MATCH(1, INDEX((ISNUMBER(SEARCH($B129, FORECAST!$A$12:$A$475))) * (INT(FORECAST!$B$12:$B$475) &lt;= AC$128) * (INT(FORECAST!$C$12:$C$475) &gt;= AC$128), 0), 0)), "")</f>
        <v>Tentativo</v>
      </c>
      <c r="AD129" s="36" t="str" cm="1">
        <f t="array" ref="AD129">IFERROR(INDEX(FORECAST!$D$12:$D$475, MATCH(1, INDEX((ISNUMBER(SEARCH($B129, FORECAST!$A$12:$A$475))) * (INT(FORECAST!$B$12:$B$475) &lt;= AD$128) * (INT(FORECAST!$C$12:$C$475) &gt;= AD$128), 0), 0)), "")</f>
        <v>Tentativo</v>
      </c>
      <c r="AE129" s="36" t="str" cm="1">
        <f t="array" ref="AE129">IFERROR(INDEX(FORECAST!$D$12:$D$475, MATCH(1, INDEX((ISNUMBER(SEARCH($B129, FORECAST!$A$12:$A$475))) * (INT(FORECAST!$B$12:$B$475) &lt;= AE$128) * (INT(FORECAST!$C$12:$C$475) &gt;= AE$128), 0), 0)), "")</f>
        <v>Tentativo</v>
      </c>
      <c r="AF129" s="36" t="str" cm="1">
        <f t="array" ref="AF129">IFERROR(INDEX(FORECAST!$D$12:$D$475, MATCH(1, INDEX((ISNUMBER(SEARCH($B129, FORECAST!$A$12:$A$475))) * (INT(FORECAST!$B$12:$B$475) &lt;= AF$128) * (INT(FORECAST!$C$12:$C$475) &gt;= AF$128), 0), 0)), "")</f>
        <v>Tentativo</v>
      </c>
      <c r="AG129" s="9"/>
      <c r="AH129" s="9"/>
      <c r="AJ129" s="45">
        <f>COUNTIF(C129:AF129,"Garantizado")/30</f>
        <v>0.36666666666666664</v>
      </c>
    </row>
    <row r="130" spans="1:38" x14ac:dyDescent="0.25">
      <c r="A130" s="71"/>
      <c r="B130" s="25" t="s">
        <v>519</v>
      </c>
      <c r="C130" s="36" t="str" cm="1">
        <f t="array" ref="C130">IFERROR(INDEX(FORECAST!$D$12:$D$475, MATCH(1, INDEX((ISNUMBER(SEARCH($B130, FORECAST!$A$12:$A$475))) * (INT(FORECAST!$B$12:$B$475) &lt;= C$128) * (INT(FORECAST!$C$12:$C$475) &gt;= C$128), 0), 0)), "")</f>
        <v/>
      </c>
      <c r="D130" s="36" t="str" cm="1">
        <f t="array" ref="D130">IFERROR(INDEX(FORECAST!$D$12:$D$475, MATCH(1, INDEX((ISNUMBER(SEARCH($B130, FORECAST!$A$12:$A$475))) * (INT(FORECAST!$B$12:$B$475) &lt;= D$128) * (INT(FORECAST!$C$12:$C$475) &gt;= D$128), 0), 0)), "")</f>
        <v>Garantizado</v>
      </c>
      <c r="E130" s="36" t="str" cm="1">
        <f t="array" ref="E130">IFERROR(INDEX(FORECAST!$D$12:$D$475, MATCH(1, INDEX((ISNUMBER(SEARCH($B130, FORECAST!$A$12:$A$475))) * (INT(FORECAST!$B$12:$B$475) &lt;= E$128) * (INT(FORECAST!$C$12:$C$475) &gt;= E$128), 0), 0)), "")</f>
        <v>Garantizado</v>
      </c>
      <c r="F130" s="36" t="str" cm="1">
        <f t="array" ref="F130">IFERROR(INDEX(FORECAST!$D$12:$D$475, MATCH(1, INDEX((ISNUMBER(SEARCH($B130, FORECAST!$A$12:$A$475))) * (INT(FORECAST!$B$12:$B$475) &lt;= F$128) * (INT(FORECAST!$C$12:$C$475) &gt;= F$128), 0), 0)), "")</f>
        <v>Garantizado</v>
      </c>
      <c r="G130" s="36" t="str" cm="1">
        <f t="array" ref="G130">IFERROR(INDEX(FORECAST!$D$12:$D$475, MATCH(1, INDEX((ISNUMBER(SEARCH($B130, FORECAST!$A$12:$A$475))) * (INT(FORECAST!$B$12:$B$475) &lt;= G$128) * (INT(FORECAST!$C$12:$C$475) &gt;= G$128), 0), 0)), "")</f>
        <v>Garantizado</v>
      </c>
      <c r="H130" s="36" t="str" cm="1">
        <f t="array" ref="H130">IFERROR(INDEX(FORECAST!$D$12:$D$475, MATCH(1, INDEX((ISNUMBER(SEARCH($B130, FORECAST!$A$12:$A$475))) * (INT(FORECAST!$B$12:$B$475) &lt;= H$128) * (INT(FORECAST!$C$12:$C$475) &gt;= H$128), 0), 0)), "")</f>
        <v>Garantizado</v>
      </c>
      <c r="I130" s="36" t="str" cm="1">
        <f t="array" ref="I130">IFERROR(INDEX(FORECAST!$D$12:$D$475, MATCH(1, INDEX((ISNUMBER(SEARCH($B130, FORECAST!$A$12:$A$475))) * (INT(FORECAST!$B$12:$B$475) &lt;= I$128) * (INT(FORECAST!$C$12:$C$475) &gt;= I$128), 0), 0)), "")</f>
        <v>Garantizado</v>
      </c>
      <c r="J130" s="36" t="str" cm="1">
        <f t="array" ref="J130">IFERROR(INDEX(FORECAST!$D$12:$D$475, MATCH(1, INDEX((ISNUMBER(SEARCH($B130, FORECAST!$A$12:$A$475))) * (INT(FORECAST!$B$12:$B$475) &lt;= J$128) * (INT(FORECAST!$C$12:$C$475) &gt;= J$128), 0), 0)), "")</f>
        <v/>
      </c>
      <c r="K130" s="36" t="str" cm="1">
        <f t="array" ref="K130">IFERROR(INDEX(FORECAST!$D$12:$D$475, MATCH(1, INDEX((ISNUMBER(SEARCH($B130, FORECAST!$A$12:$A$475))) * (INT(FORECAST!$B$12:$B$475) &lt;= K$128) * (INT(FORECAST!$C$12:$C$475) &gt;= K$128), 0), 0)), "")</f>
        <v/>
      </c>
      <c r="L130" s="36" t="str" cm="1">
        <f t="array" ref="L130">IFERROR(INDEX(FORECAST!$D$12:$D$475, MATCH(1, INDEX((ISNUMBER(SEARCH($B130, FORECAST!$A$12:$A$475))) * (INT(FORECAST!$B$12:$B$475) &lt;= L$128) * (INT(FORECAST!$C$12:$C$475) &gt;= L$128), 0), 0)), "")</f>
        <v>Presupuesto</v>
      </c>
      <c r="M130" s="36" t="str" cm="1">
        <f t="array" ref="M130">IFERROR(INDEX(FORECAST!$D$12:$D$475, MATCH(1, INDEX((ISNUMBER(SEARCH($B130, FORECAST!$A$12:$A$475))) * (INT(FORECAST!$B$12:$B$475) &lt;= M$128) * (INT(FORECAST!$C$12:$C$475) &gt;= M$128), 0), 0)), "")</f>
        <v>Presupuesto</v>
      </c>
      <c r="N130" s="36" t="str" cm="1">
        <f t="array" ref="N130">IFERROR(INDEX(FORECAST!$D$12:$D$475, MATCH(1, INDEX((ISNUMBER(SEARCH($B130, FORECAST!$A$12:$A$475))) * (INT(FORECAST!$B$12:$B$475) &lt;= N$128) * (INT(FORECAST!$C$12:$C$475) &gt;= N$128), 0), 0)), "")</f>
        <v>Tentativo</v>
      </c>
      <c r="O130" s="36" t="str" cm="1">
        <f t="array" ref="O130">IFERROR(INDEX(FORECAST!$D$12:$D$475, MATCH(1, INDEX((ISNUMBER(SEARCH($B130, FORECAST!$A$12:$A$475))) * (INT(FORECAST!$B$12:$B$475) &lt;= O$128) * (INT(FORECAST!$C$12:$C$475) &gt;= O$128), 0), 0)), "")</f>
        <v>Tentativo</v>
      </c>
      <c r="P130" s="36" t="str" cm="1">
        <f t="array" ref="P130">IFERROR(INDEX(FORECAST!$D$12:$D$475, MATCH(1, INDEX((ISNUMBER(SEARCH($B130, FORECAST!$A$12:$A$475))) * (INT(FORECAST!$B$12:$B$475) &lt;= P$128) * (INT(FORECAST!$C$12:$C$475) &gt;= P$128), 0), 0)), "")</f>
        <v>Garantizado</v>
      </c>
      <c r="Q130" s="36" t="str" cm="1">
        <f t="array" ref="Q130">IFERROR(INDEX(FORECAST!$D$12:$D$475, MATCH(1, INDEX((ISNUMBER(SEARCH($B130, FORECAST!$A$12:$A$475))) * (INT(FORECAST!$B$12:$B$475) &lt;= Q$128) * (INT(FORECAST!$C$12:$C$475) &gt;= Q$128), 0), 0)), "")</f>
        <v/>
      </c>
      <c r="R130" s="36" t="str" cm="1">
        <f t="array" ref="R130">IFERROR(INDEX(FORECAST!$D$12:$D$475, MATCH(1, INDEX((ISNUMBER(SEARCH($B130, FORECAST!$A$12:$A$475))) * (INT(FORECAST!$B$12:$B$475) &lt;= R$128) * (INT(FORECAST!$C$12:$C$475) &gt;= R$128), 0), 0)), "")</f>
        <v/>
      </c>
      <c r="S130" s="36" t="str" cm="1">
        <f t="array" ref="S130">IFERROR(INDEX(FORECAST!$D$12:$D$475, MATCH(1, INDEX((ISNUMBER(SEARCH($B130, FORECAST!$A$12:$A$475))) * (INT(FORECAST!$B$12:$B$475) &lt;= S$128) * (INT(FORECAST!$C$12:$C$475) &gt;= S$128), 0), 0)), "")</f>
        <v/>
      </c>
      <c r="T130" s="36" t="str" cm="1">
        <f t="array" ref="T130">IFERROR(INDEX(FORECAST!$D$12:$D$475, MATCH(1, INDEX((ISNUMBER(SEARCH($B130, FORECAST!$A$12:$A$475))) * (INT(FORECAST!$B$12:$B$475) &lt;= T$128) * (INT(FORECAST!$C$12:$C$475) &gt;= T$128), 0), 0)), "")</f>
        <v/>
      </c>
      <c r="U130" s="36" t="str" cm="1">
        <f t="array" ref="U130">IFERROR(INDEX(FORECAST!$D$12:$D$475, MATCH(1, INDEX((ISNUMBER(SEARCH($B130, FORECAST!$A$12:$A$475))) * (INT(FORECAST!$B$12:$B$475) &lt;= U$128) * (INT(FORECAST!$C$12:$C$475) &gt;= U$128), 0), 0)), "")</f>
        <v/>
      </c>
      <c r="V130" s="36" t="str" cm="1">
        <f t="array" ref="V130">IFERROR(INDEX(FORECAST!$D$12:$D$475, MATCH(1, INDEX((ISNUMBER(SEARCH($B130, FORECAST!$A$12:$A$475))) * (INT(FORECAST!$B$12:$B$475) &lt;= V$128) * (INT(FORECAST!$C$12:$C$475) &gt;= V$128), 0), 0)), "")</f>
        <v/>
      </c>
      <c r="W130" s="36" t="str" cm="1">
        <f t="array" ref="W130">IFERROR(INDEX(FORECAST!$D$12:$D$475, MATCH(1, INDEX((ISNUMBER(SEARCH($B130, FORECAST!$A$12:$A$475))) * (INT(FORECAST!$B$12:$B$475) &lt;= W$128) * (INT(FORECAST!$C$12:$C$475) &gt;= W$128), 0), 0)), "")</f>
        <v/>
      </c>
      <c r="X130" s="36" t="str" cm="1">
        <f t="array" ref="X130">IFERROR(INDEX(FORECAST!$D$12:$D$475, MATCH(1, INDEX((ISNUMBER(SEARCH($B130, FORECAST!$A$12:$A$475))) * (INT(FORECAST!$B$12:$B$475) &lt;= X$128) * (INT(FORECAST!$C$12:$C$475) &gt;= X$128), 0), 0)), "")</f>
        <v/>
      </c>
      <c r="Y130" s="36" t="str" cm="1">
        <f t="array" ref="Y130">IFERROR(INDEX(FORECAST!$D$12:$D$475, MATCH(1, INDEX((ISNUMBER(SEARCH($B130, FORECAST!$A$12:$A$475))) * (INT(FORECAST!$B$12:$B$475) &lt;= Y$128) * (INT(FORECAST!$C$12:$C$475) &gt;= Y$128), 0), 0)), "")</f>
        <v/>
      </c>
      <c r="Z130" s="36" t="str" cm="1">
        <f t="array" ref="Z130">IFERROR(INDEX(FORECAST!$D$12:$D$475, MATCH(1, INDEX((ISNUMBER(SEARCH($B130, FORECAST!$A$12:$A$475))) * (INT(FORECAST!$B$12:$B$475) &lt;= Z$128) * (INT(FORECAST!$C$12:$C$475) &gt;= Z$128), 0), 0)), "")</f>
        <v/>
      </c>
      <c r="AA130" s="36" t="str" cm="1">
        <f t="array" ref="AA130">IFERROR(INDEX(FORECAST!$D$12:$D$475, MATCH(1, INDEX((ISNUMBER(SEARCH($B130, FORECAST!$A$12:$A$475))) * (INT(FORECAST!$B$12:$B$475) &lt;= AA$128) * (INT(FORECAST!$C$12:$C$475) &gt;= AA$128), 0), 0)), "")</f>
        <v/>
      </c>
      <c r="AB130" s="36" t="str" cm="1">
        <f t="array" ref="AB130">IFERROR(INDEX(FORECAST!$D$12:$D$475, MATCH(1, INDEX((ISNUMBER(SEARCH($B130, FORECAST!$A$12:$A$475))) * (INT(FORECAST!$B$12:$B$475) &lt;= AB$128) * (INT(FORECAST!$C$12:$C$475) &gt;= AB$128), 0), 0)), "")</f>
        <v>Tentativo</v>
      </c>
      <c r="AC130" s="36" t="str" cm="1">
        <f t="array" ref="AC130">IFERROR(INDEX(FORECAST!$D$12:$D$475, MATCH(1, INDEX((ISNUMBER(SEARCH($B130, FORECAST!$A$12:$A$475))) * (INT(FORECAST!$B$12:$B$475) &lt;= AC$128) * (INT(FORECAST!$C$12:$C$475) &gt;= AC$128), 0), 0)), "")</f>
        <v>Tentativo</v>
      </c>
      <c r="AD130" s="36" t="str" cm="1">
        <f t="array" ref="AD130">IFERROR(INDEX(FORECAST!$D$12:$D$475, MATCH(1, INDEX((ISNUMBER(SEARCH($B130, FORECAST!$A$12:$A$475))) * (INT(FORECAST!$B$12:$B$475) &lt;= AD$128) * (INT(FORECAST!$C$12:$C$475) &gt;= AD$128), 0), 0)), "")</f>
        <v>Tentativo</v>
      </c>
      <c r="AE130" s="36" t="str" cm="1">
        <f t="array" ref="AE130">IFERROR(INDEX(FORECAST!$D$12:$D$475, MATCH(1, INDEX((ISNUMBER(SEARCH($B130, FORECAST!$A$12:$A$475))) * (INT(FORECAST!$B$12:$B$475) &lt;= AE$128) * (INT(FORECAST!$C$12:$C$475) &gt;= AE$128), 0), 0)), "")</f>
        <v>Tentativo</v>
      </c>
      <c r="AF130" s="36" t="str" cm="1">
        <f t="array" ref="AF130">IFERROR(INDEX(FORECAST!$D$12:$D$475, MATCH(1, INDEX((ISNUMBER(SEARCH($B130, FORECAST!$A$12:$A$475))) * (INT(FORECAST!$B$12:$B$475) &lt;= AF$128) * (INT(FORECAST!$C$12:$C$475) &gt;= AF$128), 0), 0)), "")</f>
        <v>Tentativo</v>
      </c>
      <c r="AG130" s="9"/>
      <c r="AH130" s="9"/>
      <c r="AJ130" s="45">
        <f t="shared" ref="AJ130:AJ136" si="10">COUNTIF(C130:AF130,"Garantizado")/30</f>
        <v>0.23333333333333334</v>
      </c>
    </row>
    <row r="131" spans="1:38" x14ac:dyDescent="0.25">
      <c r="A131" s="71"/>
      <c r="B131" s="25" t="s">
        <v>279</v>
      </c>
      <c r="C131" s="36" t="str" cm="1">
        <f t="array" ref="C131">IFERROR(INDEX(FORECAST!$D$12:$D$475, MATCH(1, INDEX((ISNUMBER(SEARCH($B131, FORECAST!$A$12:$A$475))) * (INT(FORECAST!$B$12:$B$475) &lt;= C$128) * (INT(FORECAST!$C$12:$C$475) &gt;= C$128), 0), 0)), "")</f>
        <v/>
      </c>
      <c r="D131" s="36" t="str" cm="1">
        <f t="array" ref="D131">IFERROR(INDEX(FORECAST!$D$12:$D$475, MATCH(1, INDEX((ISNUMBER(SEARCH($B131, FORECAST!$A$12:$A$475))) * (INT(FORECAST!$B$12:$B$475) &lt;= D$128) * (INT(FORECAST!$C$12:$C$475) &gt;= D$128), 0), 0)), "")</f>
        <v>Garantizado</v>
      </c>
      <c r="E131" s="36" t="str" cm="1">
        <f t="array" ref="E131">IFERROR(INDEX(FORECAST!$D$12:$D$475, MATCH(1, INDEX((ISNUMBER(SEARCH($B131, FORECAST!$A$12:$A$475))) * (INT(FORECAST!$B$12:$B$475) &lt;= E$128) * (INT(FORECAST!$C$12:$C$475) &gt;= E$128), 0), 0)), "")</f>
        <v>Garantizado</v>
      </c>
      <c r="F131" s="36" t="str" cm="1">
        <f t="array" ref="F131">IFERROR(INDEX(FORECAST!$D$12:$D$475, MATCH(1, INDEX((ISNUMBER(SEARCH($B131, FORECAST!$A$12:$A$475))) * (INT(FORECAST!$B$12:$B$475) &lt;= F$128) * (INT(FORECAST!$C$12:$C$475) &gt;= F$128), 0), 0)), "")</f>
        <v>Garantizado</v>
      </c>
      <c r="G131" s="36" t="str" cm="1">
        <f t="array" ref="G131">IFERROR(INDEX(FORECAST!$D$12:$D$475, MATCH(1, INDEX((ISNUMBER(SEARCH($B131, FORECAST!$A$12:$A$475))) * (INT(FORECAST!$B$12:$B$475) &lt;= G$128) * (INT(FORECAST!$C$12:$C$475) &gt;= G$128), 0), 0)), "")</f>
        <v/>
      </c>
      <c r="H131" s="36" t="str" cm="1">
        <f t="array" ref="H131">IFERROR(INDEX(FORECAST!$D$12:$D$475, MATCH(1, INDEX((ISNUMBER(SEARCH($B131, FORECAST!$A$12:$A$475))) * (INT(FORECAST!$B$12:$B$475) &lt;= H$128) * (INT(FORECAST!$C$12:$C$475) &gt;= H$128), 0), 0)), "")</f>
        <v/>
      </c>
      <c r="I131" s="36" t="str" cm="1">
        <f t="array" ref="I131">IFERROR(INDEX(FORECAST!$D$12:$D$475, MATCH(1, INDEX((ISNUMBER(SEARCH($B131, FORECAST!$A$12:$A$475))) * (INT(FORECAST!$B$12:$B$475) &lt;= I$128) * (INT(FORECAST!$C$12:$C$475) &gt;= I$128), 0), 0)), "")</f>
        <v/>
      </c>
      <c r="J131" s="36" t="str" cm="1">
        <f t="array" ref="J131">IFERROR(INDEX(FORECAST!$D$12:$D$475, MATCH(1, INDEX((ISNUMBER(SEARCH($B131, FORECAST!$A$12:$A$475))) * (INT(FORECAST!$B$12:$B$475) &lt;= J$128) * (INT(FORECAST!$C$12:$C$475) &gt;= J$128), 0), 0)), "")</f>
        <v/>
      </c>
      <c r="K131" s="36" t="str" cm="1">
        <f t="array" ref="K131">IFERROR(INDEX(FORECAST!$D$12:$D$475, MATCH(1, INDEX((ISNUMBER(SEARCH($B131, FORECAST!$A$12:$A$475))) * (INT(FORECAST!$B$12:$B$475) &lt;= K$128) * (INT(FORECAST!$C$12:$C$475) &gt;= K$128), 0), 0)), "")</f>
        <v/>
      </c>
      <c r="L131" s="36" t="str" cm="1">
        <f t="array" ref="L131">IFERROR(INDEX(FORECAST!$D$12:$D$475, MATCH(1, INDEX((ISNUMBER(SEARCH($B131, FORECAST!$A$12:$A$475))) * (INT(FORECAST!$B$12:$B$475) &lt;= L$128) * (INT(FORECAST!$C$12:$C$475) &gt;= L$128), 0), 0)), "")</f>
        <v/>
      </c>
      <c r="M131" s="36" t="str" cm="1">
        <f t="array" ref="M131">IFERROR(INDEX(FORECAST!$D$12:$D$475, MATCH(1, INDEX((ISNUMBER(SEARCH($B131, FORECAST!$A$12:$A$475))) * (INT(FORECAST!$B$12:$B$475) &lt;= M$128) * (INT(FORECAST!$C$12:$C$475) &gt;= M$128), 0), 0)), "")</f>
        <v/>
      </c>
      <c r="N131" s="36" t="str" cm="1">
        <f t="array" ref="N131">IFERROR(INDEX(FORECAST!$D$12:$D$475, MATCH(1, INDEX((ISNUMBER(SEARCH($B131, FORECAST!$A$12:$A$475))) * (INT(FORECAST!$B$12:$B$475) &lt;= N$128) * (INT(FORECAST!$C$12:$C$475) &gt;= N$128), 0), 0)), "")</f>
        <v/>
      </c>
      <c r="O131" s="36" t="str" cm="1">
        <f t="array" ref="O131">IFERROR(INDEX(FORECAST!$D$12:$D$475, MATCH(1, INDEX((ISNUMBER(SEARCH($B131, FORECAST!$A$12:$A$475))) * (INT(FORECAST!$B$12:$B$475) &lt;= O$128) * (INT(FORECAST!$C$12:$C$475) &gt;= O$128), 0), 0)), "")</f>
        <v/>
      </c>
      <c r="P131" s="36" t="str" cm="1">
        <f t="array" ref="P131">IFERROR(INDEX(FORECAST!$D$12:$D$475, MATCH(1, INDEX((ISNUMBER(SEARCH($B131, FORECAST!$A$12:$A$475))) * (INT(FORECAST!$B$12:$B$475) &lt;= P$128) * (INT(FORECAST!$C$12:$C$475) &gt;= P$128), 0), 0)), "")</f>
        <v>Garantizado</v>
      </c>
      <c r="Q131" s="36" t="str" cm="1">
        <f t="array" ref="Q131">IFERROR(INDEX(FORECAST!$D$12:$D$475, MATCH(1, INDEX((ISNUMBER(SEARCH($B131, FORECAST!$A$12:$A$475))) * (INT(FORECAST!$B$12:$B$475) &lt;= Q$128) * (INT(FORECAST!$C$12:$C$475) &gt;= Q$128), 0), 0)), "")</f>
        <v/>
      </c>
      <c r="R131" s="36" t="str" cm="1">
        <f t="array" ref="R131">IFERROR(INDEX(FORECAST!$D$12:$D$475, MATCH(1, INDEX((ISNUMBER(SEARCH($B131, FORECAST!$A$12:$A$475))) * (INT(FORECAST!$B$12:$B$475) &lt;= R$128) * (INT(FORECAST!$C$12:$C$475) &gt;= R$128), 0), 0)), "")</f>
        <v/>
      </c>
      <c r="S131" s="36" t="str" cm="1">
        <f t="array" ref="S131">IFERROR(INDEX(FORECAST!$D$12:$D$475, MATCH(1, INDEX((ISNUMBER(SEARCH($B131, FORECAST!$A$12:$A$475))) * (INT(FORECAST!$B$12:$B$475) &lt;= S$128) * (INT(FORECAST!$C$12:$C$475) &gt;= S$128), 0), 0)), "")</f>
        <v/>
      </c>
      <c r="T131" s="36" t="str" cm="1">
        <f t="array" ref="T131">IFERROR(INDEX(FORECAST!$D$12:$D$475, MATCH(1, INDEX((ISNUMBER(SEARCH($B131, FORECAST!$A$12:$A$475))) * (INT(FORECAST!$B$12:$B$475) &lt;= T$128) * (INT(FORECAST!$C$12:$C$475) &gt;= T$128), 0), 0)), "")</f>
        <v/>
      </c>
      <c r="U131" s="36" t="str" cm="1">
        <f t="array" ref="U131">IFERROR(INDEX(FORECAST!$D$12:$D$475, MATCH(1, INDEX((ISNUMBER(SEARCH($B131, FORECAST!$A$12:$A$475))) * (INT(FORECAST!$B$12:$B$475) &lt;= U$128) * (INT(FORECAST!$C$12:$C$475) &gt;= U$128), 0), 0)), "")</f>
        <v/>
      </c>
      <c r="V131" s="36" t="str" cm="1">
        <f t="array" ref="V131">IFERROR(INDEX(FORECAST!$D$12:$D$475, MATCH(1, INDEX((ISNUMBER(SEARCH($B131, FORECAST!$A$12:$A$475))) * (INT(FORECAST!$B$12:$B$475) &lt;= V$128) * (INT(FORECAST!$C$12:$C$475) &gt;= V$128), 0), 0)), "")</f>
        <v/>
      </c>
      <c r="W131" s="36" t="str" cm="1">
        <f t="array" ref="W131">IFERROR(INDEX(FORECAST!$D$12:$D$475, MATCH(1, INDEX((ISNUMBER(SEARCH($B131, FORECAST!$A$12:$A$475))) * (INT(FORECAST!$B$12:$B$475) &lt;= W$128) * (INT(FORECAST!$C$12:$C$475) &gt;= W$128), 0), 0)), "")</f>
        <v/>
      </c>
      <c r="X131" s="36" t="str" cm="1">
        <f t="array" ref="X131">IFERROR(INDEX(FORECAST!$D$12:$D$475, MATCH(1, INDEX((ISNUMBER(SEARCH($B131, FORECAST!$A$12:$A$475))) * (INT(FORECAST!$B$12:$B$475) &lt;= X$128) * (INT(FORECAST!$C$12:$C$475) &gt;= X$128), 0), 0)), "")</f>
        <v/>
      </c>
      <c r="Y131" s="36" t="str" cm="1">
        <f t="array" ref="Y131">IFERROR(INDEX(FORECAST!$D$12:$D$475, MATCH(1, INDEX((ISNUMBER(SEARCH($B131, FORECAST!$A$12:$A$475))) * (INT(FORECAST!$B$12:$B$475) &lt;= Y$128) * (INT(FORECAST!$C$12:$C$475) &gt;= Y$128), 0), 0)), "")</f>
        <v/>
      </c>
      <c r="Z131" s="36" t="str" cm="1">
        <f t="array" ref="Z131">IFERROR(INDEX(FORECAST!$D$12:$D$475, MATCH(1, INDEX((ISNUMBER(SEARCH($B131, FORECAST!$A$12:$A$475))) * (INT(FORECAST!$B$12:$B$475) &lt;= Z$128) * (INT(FORECAST!$C$12:$C$475) &gt;= Z$128), 0), 0)), "")</f>
        <v/>
      </c>
      <c r="AA131" s="36" t="str" cm="1">
        <f t="array" ref="AA131">IFERROR(INDEX(FORECAST!$D$12:$D$475, MATCH(1, INDEX((ISNUMBER(SEARCH($B131, FORECAST!$A$12:$A$475))) * (INT(FORECAST!$B$12:$B$475) &lt;= AA$128) * (INT(FORECAST!$C$12:$C$475) &gt;= AA$128), 0), 0)), "")</f>
        <v/>
      </c>
      <c r="AB131" s="36" t="str" cm="1">
        <f t="array" ref="AB131">IFERROR(INDEX(FORECAST!$D$12:$D$475, MATCH(1, INDEX((ISNUMBER(SEARCH($B131, FORECAST!$A$12:$A$475))) * (INT(FORECAST!$B$12:$B$475) &lt;= AB$128) * (INT(FORECAST!$C$12:$C$475) &gt;= AB$128), 0), 0)), "")</f>
        <v>Tentativo</v>
      </c>
      <c r="AC131" s="36" t="str" cm="1">
        <f t="array" ref="AC131">IFERROR(INDEX(FORECAST!$D$12:$D$475, MATCH(1, INDEX((ISNUMBER(SEARCH($B131, FORECAST!$A$12:$A$475))) * (INT(FORECAST!$B$12:$B$475) &lt;= AC$128) * (INT(FORECAST!$C$12:$C$475) &gt;= AC$128), 0), 0)), "")</f>
        <v>Tentativo</v>
      </c>
      <c r="AD131" s="36" t="str" cm="1">
        <f t="array" ref="AD131">IFERROR(INDEX(FORECAST!$D$12:$D$475, MATCH(1, INDEX((ISNUMBER(SEARCH($B131, FORECAST!$A$12:$A$475))) * (INT(FORECAST!$B$12:$B$475) &lt;= AD$128) * (INT(FORECAST!$C$12:$C$475) &gt;= AD$128), 0), 0)), "")</f>
        <v>Tentativo</v>
      </c>
      <c r="AE131" s="36" t="str" cm="1">
        <f t="array" ref="AE131">IFERROR(INDEX(FORECAST!$D$12:$D$475, MATCH(1, INDEX((ISNUMBER(SEARCH($B131, FORECAST!$A$12:$A$475))) * (INT(FORECAST!$B$12:$B$475) &lt;= AE$128) * (INT(FORECAST!$C$12:$C$475) &gt;= AE$128), 0), 0)), "")</f>
        <v>Tentativo</v>
      </c>
      <c r="AF131" s="36" t="str" cm="1">
        <f t="array" ref="AF131">IFERROR(INDEX(FORECAST!$D$12:$D$475, MATCH(1, INDEX((ISNUMBER(SEARCH($B131, FORECAST!$A$12:$A$475))) * (INT(FORECAST!$B$12:$B$475) &lt;= AF$128) * (INT(FORECAST!$C$12:$C$475) &gt;= AF$128), 0), 0)), "")</f>
        <v>Tentativo</v>
      </c>
      <c r="AG131" s="9"/>
      <c r="AH131" s="2"/>
      <c r="AJ131" s="45">
        <f t="shared" si="10"/>
        <v>0.13333333333333333</v>
      </c>
      <c r="AL131" s="22" t="s">
        <v>520</v>
      </c>
    </row>
    <row r="132" spans="1:38" x14ac:dyDescent="0.25">
      <c r="A132" s="71"/>
      <c r="B132" s="25" t="s">
        <v>521</v>
      </c>
      <c r="C132" s="36" t="str" cm="1">
        <f t="array" ref="C132">IFERROR(INDEX(FORECAST!$D$12:$D$475, MATCH(1, INDEX((ISNUMBER(SEARCH($B132, FORECAST!$A$12:$A$475))) * (INT(FORECAST!$B$12:$B$475) &lt;= C$128) * (INT(FORECAST!$C$12:$C$475) &gt;= C$128), 0), 0)), "")</f>
        <v/>
      </c>
      <c r="D132" s="36" t="str" cm="1">
        <f t="array" ref="D132">IFERROR(INDEX(FORECAST!$D$12:$D$475, MATCH(1, INDEX((ISNUMBER(SEARCH($B132, FORECAST!$A$12:$A$475))) * (INT(FORECAST!$B$12:$B$475) &lt;= D$128) * (INT(FORECAST!$C$12:$C$475) &gt;= D$128), 0), 0)), "")</f>
        <v>Garantizado</v>
      </c>
      <c r="E132" s="36" t="str" cm="1">
        <f t="array" ref="E132">IFERROR(INDEX(FORECAST!$D$12:$D$475, MATCH(1, INDEX((ISNUMBER(SEARCH($B132, FORECAST!$A$12:$A$475))) * (INT(FORECAST!$B$12:$B$475) &lt;= E$128) * (INT(FORECAST!$C$12:$C$475) &gt;= E$128), 0), 0)), "")</f>
        <v>Garantizado</v>
      </c>
      <c r="F132" s="36" t="str" cm="1">
        <f t="array" ref="F132">IFERROR(INDEX(FORECAST!$D$12:$D$475, MATCH(1, INDEX((ISNUMBER(SEARCH($B132, FORECAST!$A$12:$A$475))) * (INT(FORECAST!$B$12:$B$475) &lt;= F$128) * (INT(FORECAST!$C$12:$C$475) &gt;= F$128), 0), 0)), "")</f>
        <v>Garantizado</v>
      </c>
      <c r="G132" s="36" t="str" cm="1">
        <f t="array" ref="G132">IFERROR(INDEX(FORECAST!$D$12:$D$475, MATCH(1, INDEX((ISNUMBER(SEARCH($B132, FORECAST!$A$12:$A$475))) * (INT(FORECAST!$B$12:$B$475) &lt;= G$128) * (INT(FORECAST!$C$12:$C$475) &gt;= G$128), 0), 0)), "")</f>
        <v/>
      </c>
      <c r="H132" s="36" t="str" cm="1">
        <f t="array" ref="H132">IFERROR(INDEX(FORECAST!$D$12:$D$475, MATCH(1, INDEX((ISNUMBER(SEARCH($B132, FORECAST!$A$12:$A$475))) * (INT(FORECAST!$B$12:$B$475) &lt;= H$128) * (INT(FORECAST!$C$12:$C$475) &gt;= H$128), 0), 0)), "")</f>
        <v/>
      </c>
      <c r="I132" s="36" t="str" cm="1">
        <f t="array" ref="I132">IFERROR(INDEX(FORECAST!$D$12:$D$475, MATCH(1, INDEX((ISNUMBER(SEARCH($B132, FORECAST!$A$12:$A$475))) * (INT(FORECAST!$B$12:$B$475) &lt;= I$128) * (INT(FORECAST!$C$12:$C$475) &gt;= I$128), 0), 0)), "")</f>
        <v/>
      </c>
      <c r="J132" s="36" t="str" cm="1">
        <f t="array" ref="J132">IFERROR(INDEX(FORECAST!$D$12:$D$475, MATCH(1, INDEX((ISNUMBER(SEARCH($B132, FORECAST!$A$12:$A$475))) * (INT(FORECAST!$B$12:$B$475) &lt;= J$128) * (INT(FORECAST!$C$12:$C$475) &gt;= J$128), 0), 0)), "")</f>
        <v/>
      </c>
      <c r="K132" s="36" t="str" cm="1">
        <f t="array" ref="K132">IFERROR(INDEX(FORECAST!$D$12:$D$475, MATCH(1, INDEX((ISNUMBER(SEARCH($B132, FORECAST!$A$12:$A$475))) * (INT(FORECAST!$B$12:$B$475) &lt;= K$128) * (INT(FORECAST!$C$12:$C$475) &gt;= K$128), 0), 0)), "")</f>
        <v/>
      </c>
      <c r="L132" s="36" t="str" cm="1">
        <f t="array" ref="L132">IFERROR(INDEX(FORECAST!$D$12:$D$475, MATCH(1, INDEX((ISNUMBER(SEARCH($B132, FORECAST!$A$12:$A$475))) * (INT(FORECAST!$B$12:$B$475) &lt;= L$128) * (INT(FORECAST!$C$12:$C$475) &gt;= L$128), 0), 0)), "")</f>
        <v/>
      </c>
      <c r="M132" s="36" t="str" cm="1">
        <f t="array" ref="M132">IFERROR(INDEX(FORECAST!$D$12:$D$475, MATCH(1, INDEX((ISNUMBER(SEARCH($B132, FORECAST!$A$12:$A$475))) * (INT(FORECAST!$B$12:$B$475) &lt;= M$128) * (INT(FORECAST!$C$12:$C$475) &gt;= M$128), 0), 0)), "")</f>
        <v/>
      </c>
      <c r="N132" s="36" t="str" cm="1">
        <f t="array" ref="N132">IFERROR(INDEX(FORECAST!$D$12:$D$475, MATCH(1, INDEX((ISNUMBER(SEARCH($B132, FORECAST!$A$12:$A$475))) * (INT(FORECAST!$B$12:$B$475) &lt;= N$128) * (INT(FORECAST!$C$12:$C$475) &gt;= N$128), 0), 0)), "")</f>
        <v/>
      </c>
      <c r="O132" s="36" t="str" cm="1">
        <f t="array" ref="O132">IFERROR(INDEX(FORECAST!$D$12:$D$475, MATCH(1, INDEX((ISNUMBER(SEARCH($B132, FORECAST!$A$12:$A$475))) * (INT(FORECAST!$B$12:$B$475) &lt;= O$128) * (INT(FORECAST!$C$12:$C$475) &gt;= O$128), 0), 0)), "")</f>
        <v/>
      </c>
      <c r="P132" s="36" t="str" cm="1">
        <f t="array" ref="P132">IFERROR(INDEX(FORECAST!$D$12:$D$475, MATCH(1, INDEX((ISNUMBER(SEARCH($B132, FORECAST!$A$12:$A$475))) * (INT(FORECAST!$B$12:$B$475) &lt;= P$128) * (INT(FORECAST!$C$12:$C$475) &gt;= P$128), 0), 0)), "")</f>
        <v/>
      </c>
      <c r="Q132" s="36" t="str" cm="1">
        <f t="array" ref="Q132">IFERROR(INDEX(FORECAST!$D$12:$D$475, MATCH(1, INDEX((ISNUMBER(SEARCH($B132, FORECAST!$A$12:$A$475))) * (INT(FORECAST!$B$12:$B$475) &lt;= Q$128) * (INT(FORECAST!$C$12:$C$475) &gt;= Q$128), 0), 0)), "")</f>
        <v/>
      </c>
      <c r="R132" s="36" t="str" cm="1">
        <f t="array" ref="R132">IFERROR(INDEX(FORECAST!$D$12:$D$475, MATCH(1, INDEX((ISNUMBER(SEARCH($B132, FORECAST!$A$12:$A$475))) * (INT(FORECAST!$B$12:$B$475) &lt;= R$128) * (INT(FORECAST!$C$12:$C$475) &gt;= R$128), 0), 0)), "")</f>
        <v/>
      </c>
      <c r="S132" s="36" t="str" cm="1">
        <f t="array" ref="S132">IFERROR(INDEX(FORECAST!$D$12:$D$475, MATCH(1, INDEX((ISNUMBER(SEARCH($B132, FORECAST!$A$12:$A$475))) * (INT(FORECAST!$B$12:$B$475) &lt;= S$128) * (INT(FORECAST!$C$12:$C$475) &gt;= S$128), 0), 0)), "")</f>
        <v/>
      </c>
      <c r="T132" s="36" t="str" cm="1">
        <f t="array" ref="T132">IFERROR(INDEX(FORECAST!$D$12:$D$475, MATCH(1, INDEX((ISNUMBER(SEARCH($B132, FORECAST!$A$12:$A$475))) * (INT(FORECAST!$B$12:$B$475) &lt;= T$128) * (INT(FORECAST!$C$12:$C$475) &gt;= T$128), 0), 0)), "")</f>
        <v/>
      </c>
      <c r="U132" s="36" t="str" cm="1">
        <f t="array" ref="U132">IFERROR(INDEX(FORECAST!$D$12:$D$475, MATCH(1, INDEX((ISNUMBER(SEARCH($B132, FORECAST!$A$12:$A$475))) * (INT(FORECAST!$B$12:$B$475) &lt;= U$128) * (INT(FORECAST!$C$12:$C$475) &gt;= U$128), 0), 0)), "")</f>
        <v/>
      </c>
      <c r="V132" s="36" t="str" cm="1">
        <f t="array" ref="V132">IFERROR(INDEX(FORECAST!$D$12:$D$475, MATCH(1, INDEX((ISNUMBER(SEARCH($B132, FORECAST!$A$12:$A$475))) * (INT(FORECAST!$B$12:$B$475) &lt;= V$128) * (INT(FORECAST!$C$12:$C$475) &gt;= V$128), 0), 0)), "")</f>
        <v/>
      </c>
      <c r="W132" s="36" t="str" cm="1">
        <f t="array" ref="W132">IFERROR(INDEX(FORECAST!$D$12:$D$475, MATCH(1, INDEX((ISNUMBER(SEARCH($B132, FORECAST!$A$12:$A$475))) * (INT(FORECAST!$B$12:$B$475) &lt;= W$128) * (INT(FORECAST!$C$12:$C$475) &gt;= W$128), 0), 0)), "")</f>
        <v/>
      </c>
      <c r="X132" s="36" t="str" cm="1">
        <f t="array" ref="X132">IFERROR(INDEX(FORECAST!$D$12:$D$475, MATCH(1, INDEX((ISNUMBER(SEARCH($B132, FORECAST!$A$12:$A$475))) * (INT(FORECAST!$B$12:$B$475) &lt;= X$128) * (INT(FORECAST!$C$12:$C$475) &gt;= X$128), 0), 0)), "")</f>
        <v/>
      </c>
      <c r="Y132" s="36" t="str" cm="1">
        <f t="array" ref="Y132">IFERROR(INDEX(FORECAST!$D$12:$D$475, MATCH(1, INDEX((ISNUMBER(SEARCH($B132, FORECAST!$A$12:$A$475))) * (INT(FORECAST!$B$12:$B$475) &lt;= Y$128) * (INT(FORECAST!$C$12:$C$475) &gt;= Y$128), 0), 0)), "")</f>
        <v/>
      </c>
      <c r="Z132" s="36" t="str" cm="1">
        <f t="array" ref="Z132">IFERROR(INDEX(FORECAST!$D$12:$D$475, MATCH(1, INDEX((ISNUMBER(SEARCH($B132, FORECAST!$A$12:$A$475))) * (INT(FORECAST!$B$12:$B$475) &lt;= Z$128) * (INT(FORECAST!$C$12:$C$475) &gt;= Z$128), 0), 0)), "")</f>
        <v/>
      </c>
      <c r="AA132" s="36" t="str" cm="1">
        <f t="array" ref="AA132">IFERROR(INDEX(FORECAST!$D$12:$D$475, MATCH(1, INDEX((ISNUMBER(SEARCH($B132, FORECAST!$A$12:$A$475))) * (INT(FORECAST!$B$12:$B$475) &lt;= AA$128) * (INT(FORECAST!$C$12:$C$475) &gt;= AA$128), 0), 0)), "")</f>
        <v/>
      </c>
      <c r="AB132" s="36" t="str" cm="1">
        <f t="array" ref="AB132">IFERROR(INDEX(FORECAST!$D$12:$D$475, MATCH(1, INDEX((ISNUMBER(SEARCH($B132, FORECAST!$A$12:$A$475))) * (INT(FORECAST!$B$12:$B$475) &lt;= AB$128) * (INT(FORECAST!$C$12:$C$475) &gt;= AB$128), 0), 0)), "")</f>
        <v>Tentativo</v>
      </c>
      <c r="AC132" s="36" t="str" cm="1">
        <f t="array" ref="AC132">IFERROR(INDEX(FORECAST!$D$12:$D$475, MATCH(1, INDEX((ISNUMBER(SEARCH($B132, FORECAST!$A$12:$A$475))) * (INT(FORECAST!$B$12:$B$475) &lt;= AC$128) * (INT(FORECAST!$C$12:$C$475) &gt;= AC$128), 0), 0)), "")</f>
        <v>Tentativo</v>
      </c>
      <c r="AD132" s="36" t="str" cm="1">
        <f t="array" ref="AD132">IFERROR(INDEX(FORECAST!$D$12:$D$475, MATCH(1, INDEX((ISNUMBER(SEARCH($B132, FORECAST!$A$12:$A$475))) * (INT(FORECAST!$B$12:$B$475) &lt;= AD$128) * (INT(FORECAST!$C$12:$C$475) &gt;= AD$128), 0), 0)), "")</f>
        <v>Tentativo</v>
      </c>
      <c r="AE132" s="36" t="str" cm="1">
        <f t="array" ref="AE132">IFERROR(INDEX(FORECAST!$D$12:$D$475, MATCH(1, INDEX((ISNUMBER(SEARCH($B132, FORECAST!$A$12:$A$475))) * (INT(FORECAST!$B$12:$B$475) &lt;= AE$128) * (INT(FORECAST!$C$12:$C$475) &gt;= AE$128), 0), 0)), "")</f>
        <v>Tentativo</v>
      </c>
      <c r="AF132" s="36" t="str" cm="1">
        <f t="array" ref="AF132">IFERROR(INDEX(FORECAST!$D$12:$D$475, MATCH(1, INDEX((ISNUMBER(SEARCH($B132, FORECAST!$A$12:$A$475))) * (INT(FORECAST!$B$12:$B$475) &lt;= AF$128) * (INT(FORECAST!$C$12:$C$475) &gt;= AF$128), 0), 0)), "")</f>
        <v>Tentativo</v>
      </c>
      <c r="AG132" s="9"/>
      <c r="AH132" s="2"/>
      <c r="AJ132" s="45">
        <f t="shared" si="10"/>
        <v>0.1</v>
      </c>
      <c r="AL132" s="45">
        <f>COUNTIF('PLANNING 2026'!C129:AF135,"Garantizado")/COUNTA('PLANNING 2026'!C129:AF135)</f>
        <v>0.15714285714285714</v>
      </c>
    </row>
    <row r="133" spans="1:38" x14ac:dyDescent="0.25">
      <c r="A133" s="71"/>
      <c r="B133" s="25" t="s">
        <v>522</v>
      </c>
      <c r="C133" s="36" t="str" cm="1">
        <f t="array" ref="C133">IFERROR(INDEX(FORECAST!$D$12:$D$475, MATCH(1, INDEX((ISNUMBER(SEARCH($B133, FORECAST!$A$12:$A$475))) * (INT(FORECAST!$B$12:$B$475) &lt;= C$128) * (INT(FORECAST!$C$12:$C$475) &gt;= C$128), 0), 0)), "")</f>
        <v/>
      </c>
      <c r="D133" s="36" t="str" cm="1">
        <f t="array" ref="D133">IFERROR(INDEX(FORECAST!$D$12:$D$475, MATCH(1, INDEX((ISNUMBER(SEARCH($B133, FORECAST!$A$12:$A$475))) * (INT(FORECAST!$B$12:$B$475) &lt;= D$128) * (INT(FORECAST!$C$12:$C$475) &gt;= D$128), 0), 0)), "")</f>
        <v>Garantizado</v>
      </c>
      <c r="E133" s="36" t="str" cm="1">
        <f t="array" ref="E133">IFERROR(INDEX(FORECAST!$D$12:$D$475, MATCH(1, INDEX((ISNUMBER(SEARCH($B133, FORECAST!$A$12:$A$475))) * (INT(FORECAST!$B$12:$B$475) &lt;= E$128) * (INT(FORECAST!$C$12:$C$475) &gt;= E$128), 0), 0)), "")</f>
        <v>Garantizado</v>
      </c>
      <c r="F133" s="36" t="str" cm="1">
        <f t="array" ref="F133">IFERROR(INDEX(FORECAST!$D$12:$D$475, MATCH(1, INDEX((ISNUMBER(SEARCH($B133, FORECAST!$A$12:$A$475))) * (INT(FORECAST!$B$12:$B$475) &lt;= F$128) * (INT(FORECAST!$C$12:$C$475) &gt;= F$128), 0), 0)), "")</f>
        <v>Garantizado</v>
      </c>
      <c r="G133" s="36" t="str" cm="1">
        <f t="array" ref="G133">IFERROR(INDEX(FORECAST!$D$12:$D$475, MATCH(1, INDEX((ISNUMBER(SEARCH($B133, FORECAST!$A$12:$A$475))) * (INT(FORECAST!$B$12:$B$475) &lt;= G$128) * (INT(FORECAST!$C$12:$C$475) &gt;= G$128), 0), 0)), "")</f>
        <v/>
      </c>
      <c r="H133" s="36" t="str" cm="1">
        <f t="array" ref="H133">IFERROR(INDEX(FORECAST!$D$12:$D$475, MATCH(1, INDEX((ISNUMBER(SEARCH($B133, FORECAST!$A$12:$A$475))) * (INT(FORECAST!$B$12:$B$475) &lt;= H$128) * (INT(FORECAST!$C$12:$C$475) &gt;= H$128), 0), 0)), "")</f>
        <v/>
      </c>
      <c r="I133" s="36" t="str" cm="1">
        <f t="array" ref="I133">IFERROR(INDEX(FORECAST!$D$12:$D$475, MATCH(1, INDEX((ISNUMBER(SEARCH($B133, FORECAST!$A$12:$A$475))) * (INT(FORECAST!$B$12:$B$475) &lt;= I$128) * (INT(FORECAST!$C$12:$C$475) &gt;= I$128), 0), 0)), "")</f>
        <v/>
      </c>
      <c r="J133" s="36" t="str" cm="1">
        <f t="array" ref="J133">IFERROR(INDEX(FORECAST!$D$12:$D$475, MATCH(1, INDEX((ISNUMBER(SEARCH($B133, FORECAST!$A$12:$A$475))) * (INT(FORECAST!$B$12:$B$475) &lt;= J$128) * (INT(FORECAST!$C$12:$C$475) &gt;= J$128), 0), 0)), "")</f>
        <v/>
      </c>
      <c r="K133" s="36" t="str" cm="1">
        <f t="array" ref="K133">IFERROR(INDEX(FORECAST!$D$12:$D$475, MATCH(1, INDEX((ISNUMBER(SEARCH($B133, FORECAST!$A$12:$A$475))) * (INT(FORECAST!$B$12:$B$475) &lt;= K$128) * (INT(FORECAST!$C$12:$C$475) &gt;= K$128), 0), 0)), "")</f>
        <v/>
      </c>
      <c r="L133" s="36" t="str" cm="1">
        <f t="array" ref="L133">IFERROR(INDEX(FORECAST!$D$12:$D$475, MATCH(1, INDEX((ISNUMBER(SEARCH($B133, FORECAST!$A$12:$A$475))) * (INT(FORECAST!$B$12:$B$475) &lt;= L$128) * (INT(FORECAST!$C$12:$C$475) &gt;= L$128), 0), 0)), "")</f>
        <v/>
      </c>
      <c r="M133" s="36" t="str" cm="1">
        <f t="array" ref="M133">IFERROR(INDEX(FORECAST!$D$12:$D$475, MATCH(1, INDEX((ISNUMBER(SEARCH($B133, FORECAST!$A$12:$A$475))) * (INT(FORECAST!$B$12:$B$475) &lt;= M$128) * (INT(FORECAST!$C$12:$C$475) &gt;= M$128), 0), 0)), "")</f>
        <v/>
      </c>
      <c r="N133" s="36" t="str" cm="1">
        <f t="array" ref="N133">IFERROR(INDEX(FORECAST!$D$12:$D$475, MATCH(1, INDEX((ISNUMBER(SEARCH($B133, FORECAST!$A$12:$A$475))) * (INT(FORECAST!$B$12:$B$475) &lt;= N$128) * (INT(FORECAST!$C$12:$C$475) &gt;= N$128), 0), 0)), "")</f>
        <v/>
      </c>
      <c r="O133" s="36" t="str" cm="1">
        <f t="array" ref="O133">IFERROR(INDEX(FORECAST!$D$12:$D$475, MATCH(1, INDEX((ISNUMBER(SEARCH($B133, FORECAST!$A$12:$A$475))) * (INT(FORECAST!$B$12:$B$475) &lt;= O$128) * (INT(FORECAST!$C$12:$C$475) &gt;= O$128), 0), 0)), "")</f>
        <v/>
      </c>
      <c r="P133" s="36" t="str" cm="1">
        <f t="array" ref="P133">IFERROR(INDEX(FORECAST!$D$12:$D$475, MATCH(1, INDEX((ISNUMBER(SEARCH($B133, FORECAST!$A$12:$A$475))) * (INT(FORECAST!$B$12:$B$475) &lt;= P$128) * (INT(FORECAST!$C$12:$C$475) &gt;= P$128), 0), 0)), "")</f>
        <v/>
      </c>
      <c r="Q133" s="36" t="str" cm="1">
        <f t="array" ref="Q133">IFERROR(INDEX(FORECAST!$D$12:$D$475, MATCH(1, INDEX((ISNUMBER(SEARCH($B133, FORECAST!$A$12:$A$475))) * (INT(FORECAST!$B$12:$B$475) &lt;= Q$128) * (INT(FORECAST!$C$12:$C$475) &gt;= Q$128), 0), 0)), "")</f>
        <v/>
      </c>
      <c r="R133" s="36" t="str" cm="1">
        <f t="array" ref="R133">IFERROR(INDEX(FORECAST!$D$12:$D$475, MATCH(1, INDEX((ISNUMBER(SEARCH($B133, FORECAST!$A$12:$A$475))) * (INT(FORECAST!$B$12:$B$475) &lt;= R$128) * (INT(FORECAST!$C$12:$C$475) &gt;= R$128), 0), 0)), "")</f>
        <v/>
      </c>
      <c r="S133" s="36" t="str" cm="1">
        <f t="array" ref="S133">IFERROR(INDEX(FORECAST!$D$12:$D$475, MATCH(1, INDEX((ISNUMBER(SEARCH($B133, FORECAST!$A$12:$A$475))) * (INT(FORECAST!$B$12:$B$475) &lt;= S$128) * (INT(FORECAST!$C$12:$C$475) &gt;= S$128), 0), 0)), "")</f>
        <v/>
      </c>
      <c r="T133" s="36" t="str" cm="1">
        <f t="array" ref="T133">IFERROR(INDEX(FORECAST!$D$12:$D$475, MATCH(1, INDEX((ISNUMBER(SEARCH($B133, FORECAST!$A$12:$A$475))) * (INT(FORECAST!$B$12:$B$475) &lt;= T$128) * (INT(FORECAST!$C$12:$C$475) &gt;= T$128), 0), 0)), "")</f>
        <v/>
      </c>
      <c r="U133" s="36" t="str" cm="1">
        <f t="array" ref="U133">IFERROR(INDEX(FORECAST!$D$12:$D$475, MATCH(1, INDEX((ISNUMBER(SEARCH($B133, FORECAST!$A$12:$A$475))) * (INT(FORECAST!$B$12:$B$475) &lt;= U$128) * (INT(FORECAST!$C$12:$C$475) &gt;= U$128), 0), 0)), "")</f>
        <v>Garantizado</v>
      </c>
      <c r="V133" s="36" t="str" cm="1">
        <f t="array" ref="V133">IFERROR(INDEX(FORECAST!$D$12:$D$475, MATCH(1, INDEX((ISNUMBER(SEARCH($B133, FORECAST!$A$12:$A$475))) * (INT(FORECAST!$B$12:$B$475) &lt;= V$128) * (INT(FORECAST!$C$12:$C$475) &gt;= V$128), 0), 0)), "")</f>
        <v>Garantizado</v>
      </c>
      <c r="W133" s="36" t="str" cm="1">
        <f t="array" ref="W133">IFERROR(INDEX(FORECAST!$D$12:$D$475, MATCH(1, INDEX((ISNUMBER(SEARCH($B133, FORECAST!$A$12:$A$475))) * (INT(FORECAST!$B$12:$B$475) &lt;= W$128) * (INT(FORECAST!$C$12:$C$475) &gt;= W$128), 0), 0)), "")</f>
        <v>Garantizado</v>
      </c>
      <c r="X133" s="36" t="str" cm="1">
        <f t="array" ref="X133">IFERROR(INDEX(FORECAST!$D$12:$D$475, MATCH(1, INDEX((ISNUMBER(SEARCH($B133, FORECAST!$A$12:$A$475))) * (INT(FORECAST!$B$12:$B$475) &lt;= X$128) * (INT(FORECAST!$C$12:$C$475) &gt;= X$128), 0), 0)), "")</f>
        <v>Garantizado</v>
      </c>
      <c r="Y133" s="36" t="str" cm="1">
        <f t="array" ref="Y133">IFERROR(INDEX(FORECAST!$D$12:$D$475, MATCH(1, INDEX((ISNUMBER(SEARCH($B133, FORECAST!$A$12:$A$475))) * (INT(FORECAST!$B$12:$B$475) &lt;= Y$128) * (INT(FORECAST!$C$12:$C$475) &gt;= Y$128), 0), 0)), "")</f>
        <v/>
      </c>
      <c r="Z133" s="36" t="str" cm="1">
        <f t="array" ref="Z133">IFERROR(INDEX(FORECAST!$D$12:$D$475, MATCH(1, INDEX((ISNUMBER(SEARCH($B133, FORECAST!$A$12:$A$475))) * (INT(FORECAST!$B$12:$B$475) &lt;= Z$128) * (INT(FORECAST!$C$12:$C$475) &gt;= Z$128), 0), 0)), "")</f>
        <v/>
      </c>
      <c r="AA133" s="36" t="str" cm="1">
        <f t="array" ref="AA133">IFERROR(INDEX(FORECAST!$D$12:$D$475, MATCH(1, INDEX((ISNUMBER(SEARCH($B133, FORECAST!$A$12:$A$475))) * (INT(FORECAST!$B$12:$B$475) &lt;= AA$128) * (INT(FORECAST!$C$12:$C$475) &gt;= AA$128), 0), 0)), "")</f>
        <v/>
      </c>
      <c r="AB133" s="36" t="str" cm="1">
        <f t="array" ref="AB133">IFERROR(INDEX(FORECAST!$D$12:$D$475, MATCH(1, INDEX((ISNUMBER(SEARCH($B133, FORECAST!$A$12:$A$475))) * (INT(FORECAST!$B$12:$B$475) &lt;= AB$128) * (INT(FORECAST!$C$12:$C$475) &gt;= AB$128), 0), 0)), "")</f>
        <v>Tentativo</v>
      </c>
      <c r="AC133" s="36" t="str" cm="1">
        <f t="array" ref="AC133">IFERROR(INDEX(FORECAST!$D$12:$D$475, MATCH(1, INDEX((ISNUMBER(SEARCH($B133, FORECAST!$A$12:$A$475))) * (INT(FORECAST!$B$12:$B$475) &lt;= AC$128) * (INT(FORECAST!$C$12:$C$475) &gt;= AC$128), 0), 0)), "")</f>
        <v>Tentativo</v>
      </c>
      <c r="AD133" s="36" t="str" cm="1">
        <f t="array" ref="AD133">IFERROR(INDEX(FORECAST!$D$12:$D$475, MATCH(1, INDEX((ISNUMBER(SEARCH($B133, FORECAST!$A$12:$A$475))) * (INT(FORECAST!$B$12:$B$475) &lt;= AD$128) * (INT(FORECAST!$C$12:$C$475) &gt;= AD$128), 0), 0)), "")</f>
        <v>Tentativo</v>
      </c>
      <c r="AE133" s="36" t="str" cm="1">
        <f t="array" ref="AE133">IFERROR(INDEX(FORECAST!$D$12:$D$475, MATCH(1, INDEX((ISNUMBER(SEARCH($B133, FORECAST!$A$12:$A$475))) * (INT(FORECAST!$B$12:$B$475) &lt;= AE$128) * (INT(FORECAST!$C$12:$C$475) &gt;= AE$128), 0), 0)), "")</f>
        <v>Tentativo</v>
      </c>
      <c r="AF133" s="36" t="str" cm="1">
        <f t="array" ref="AF133">IFERROR(INDEX(FORECAST!$D$12:$D$475, MATCH(1, INDEX((ISNUMBER(SEARCH($B133, FORECAST!$A$12:$A$475))) * (INT(FORECAST!$B$12:$B$475) &lt;= AF$128) * (INT(FORECAST!$C$12:$C$475) &gt;= AF$128), 0), 0)), "")</f>
        <v>Tentativo</v>
      </c>
      <c r="AG133" s="9"/>
      <c r="AH133" s="2"/>
      <c r="AJ133" s="45">
        <f t="shared" si="10"/>
        <v>0.23333333333333334</v>
      </c>
    </row>
    <row r="134" spans="1:38" x14ac:dyDescent="0.25">
      <c r="A134" s="71"/>
      <c r="B134" s="25" t="s">
        <v>523</v>
      </c>
      <c r="C134" s="36" t="str" cm="1">
        <f t="array" ref="C134">IFERROR(INDEX(FORECAST!$D$12:$D$475, MATCH(1, INDEX((ISNUMBER(SEARCH($B134, FORECAST!$A$12:$A$475))) * (INT(FORECAST!$B$12:$B$475) &lt;= C$128) * (INT(FORECAST!$C$12:$C$475) &gt;= C$128), 0), 0)), "")</f>
        <v/>
      </c>
      <c r="D134" s="36" t="str" cm="1">
        <f t="array" ref="D134">IFERROR(INDEX(FORECAST!$D$12:$D$475, MATCH(1, INDEX((ISNUMBER(SEARCH($B134, FORECAST!$A$12:$A$475))) * (INT(FORECAST!$B$12:$B$475) &lt;= D$128) * (INT(FORECAST!$C$12:$C$475) &gt;= D$128), 0), 0)), "")</f>
        <v/>
      </c>
      <c r="E134" s="36" t="str" cm="1">
        <f t="array" ref="E134">IFERROR(INDEX(FORECAST!$D$12:$D$475, MATCH(1, INDEX((ISNUMBER(SEARCH($B134, FORECAST!$A$12:$A$475))) * (INT(FORECAST!$B$12:$B$475) &lt;= E$128) * (INT(FORECAST!$C$12:$C$475) &gt;= E$128), 0), 0)), "")</f>
        <v>Tentativo</v>
      </c>
      <c r="F134" s="36" t="str" cm="1">
        <f t="array" ref="F134">IFERROR(INDEX(FORECAST!$D$12:$D$475, MATCH(1, INDEX((ISNUMBER(SEARCH($B134, FORECAST!$A$12:$A$475))) * (INT(FORECAST!$B$12:$B$475) &lt;= F$128) * (INT(FORECAST!$C$12:$C$475) &gt;= F$128), 0), 0)), "")</f>
        <v>Tentativo</v>
      </c>
      <c r="G134" s="36" t="str" cm="1">
        <f t="array" ref="G134">IFERROR(INDEX(FORECAST!$D$12:$D$475, MATCH(1, INDEX((ISNUMBER(SEARCH($B134, FORECAST!$A$12:$A$475))) * (INT(FORECAST!$B$12:$B$475) &lt;= G$128) * (INT(FORECAST!$C$12:$C$475) &gt;= G$128), 0), 0)), "")</f>
        <v/>
      </c>
      <c r="H134" s="36" t="str" cm="1">
        <f t="array" ref="H134">IFERROR(INDEX(FORECAST!$D$12:$D$475, MATCH(1, INDEX((ISNUMBER(SEARCH($B134, FORECAST!$A$12:$A$475))) * (INT(FORECAST!$B$12:$B$475) &lt;= H$128) * (INT(FORECAST!$C$12:$C$475) &gt;= H$128), 0), 0)), "")</f>
        <v>Presupuesto</v>
      </c>
      <c r="I134" s="36" t="str" cm="1">
        <f t="array" ref="I134">IFERROR(INDEX(FORECAST!$D$12:$D$475, MATCH(1, INDEX((ISNUMBER(SEARCH($B134, FORECAST!$A$12:$A$475))) * (INT(FORECAST!$B$12:$B$475) &lt;= I$128) * (INT(FORECAST!$C$12:$C$475) &gt;= I$128), 0), 0)), "")</f>
        <v/>
      </c>
      <c r="J134" s="36" t="str" cm="1">
        <f t="array" ref="J134">IFERROR(INDEX(FORECAST!$D$12:$D$475, MATCH(1, INDEX((ISNUMBER(SEARCH($B134, FORECAST!$A$12:$A$475))) * (INT(FORECAST!$B$12:$B$475) &lt;= J$128) * (INT(FORECAST!$C$12:$C$475) &gt;= J$128), 0), 0)), "")</f>
        <v/>
      </c>
      <c r="K134" s="36" t="str" cm="1">
        <f t="array" ref="K134">IFERROR(INDEX(FORECAST!$D$12:$D$475, MATCH(1, INDEX((ISNUMBER(SEARCH($B134, FORECAST!$A$12:$A$475))) * (INT(FORECAST!$B$12:$B$475) &lt;= K$128) * (INT(FORECAST!$C$12:$C$475) &gt;= K$128), 0), 0)), "")</f>
        <v/>
      </c>
      <c r="L134" s="36" t="str" cm="1">
        <f t="array" ref="L134">IFERROR(INDEX(FORECAST!$D$12:$D$475, MATCH(1, INDEX((ISNUMBER(SEARCH($B134, FORECAST!$A$12:$A$475))) * (INT(FORECAST!$B$12:$B$475) &lt;= L$128) * (INT(FORECAST!$C$12:$C$475) &gt;= L$128), 0), 0)), "")</f>
        <v/>
      </c>
      <c r="M134" s="36" t="str" cm="1">
        <f t="array" ref="M134">IFERROR(INDEX(FORECAST!$D$12:$D$475, MATCH(1, INDEX((ISNUMBER(SEARCH($B134, FORECAST!$A$12:$A$475))) * (INT(FORECAST!$B$12:$B$475) &lt;= M$128) * (INT(FORECAST!$C$12:$C$475) &gt;= M$128), 0), 0)), "")</f>
        <v/>
      </c>
      <c r="N134" s="36" t="str" cm="1">
        <f t="array" ref="N134">IFERROR(INDEX(FORECAST!$D$12:$D$475, MATCH(1, INDEX((ISNUMBER(SEARCH($B134, FORECAST!$A$12:$A$475))) * (INT(FORECAST!$B$12:$B$475) &lt;= N$128) * (INT(FORECAST!$C$12:$C$475) &gt;= N$128), 0), 0)), "")</f>
        <v/>
      </c>
      <c r="O134" s="36" t="str" cm="1">
        <f t="array" ref="O134">IFERROR(INDEX(FORECAST!$D$12:$D$475, MATCH(1, INDEX((ISNUMBER(SEARCH($B134, FORECAST!$A$12:$A$475))) * (INT(FORECAST!$B$12:$B$475) &lt;= O$128) * (INT(FORECAST!$C$12:$C$475) &gt;= O$128), 0), 0)), "")</f>
        <v/>
      </c>
      <c r="P134" s="36" t="str" cm="1">
        <f t="array" ref="P134">IFERROR(INDEX(FORECAST!$D$12:$D$475, MATCH(1, INDEX((ISNUMBER(SEARCH($B134, FORECAST!$A$12:$A$475))) * (INT(FORECAST!$B$12:$B$475) &lt;= P$128) * (INT(FORECAST!$C$12:$C$475) &gt;= P$128), 0), 0)), "")</f>
        <v/>
      </c>
      <c r="Q134" s="36" t="str" cm="1">
        <f t="array" ref="Q134">IFERROR(INDEX(FORECAST!$D$12:$D$475, MATCH(1, INDEX((ISNUMBER(SEARCH($B134, FORECAST!$A$12:$A$475))) * (INT(FORECAST!$B$12:$B$475) &lt;= Q$128) * (INT(FORECAST!$C$12:$C$475) &gt;= Q$128), 0), 0)), "")</f>
        <v/>
      </c>
      <c r="R134" s="36" t="str" cm="1">
        <f t="array" ref="R134">IFERROR(INDEX(FORECAST!$D$12:$D$475, MATCH(1, INDEX((ISNUMBER(SEARCH($B134, FORECAST!$A$12:$A$475))) * (INT(FORECAST!$B$12:$B$475) &lt;= R$128) * (INT(FORECAST!$C$12:$C$475) &gt;= R$128), 0), 0)), "")</f>
        <v/>
      </c>
      <c r="S134" s="36" t="str" cm="1">
        <f t="array" ref="S134">IFERROR(INDEX(FORECAST!$D$12:$D$475, MATCH(1, INDEX((ISNUMBER(SEARCH($B134, FORECAST!$A$12:$A$475))) * (INT(FORECAST!$B$12:$B$475) &lt;= S$128) * (INT(FORECAST!$C$12:$C$475) &gt;= S$128), 0), 0)), "")</f>
        <v/>
      </c>
      <c r="T134" s="36" t="str" cm="1">
        <f t="array" ref="T134">IFERROR(INDEX(FORECAST!$D$12:$D$475, MATCH(1, INDEX((ISNUMBER(SEARCH($B134, FORECAST!$A$12:$A$475))) * (INT(FORECAST!$B$12:$B$475) &lt;= T$128) * (INT(FORECAST!$C$12:$C$475) &gt;= T$128), 0), 0)), "")</f>
        <v/>
      </c>
      <c r="U134" s="36" t="str" cm="1">
        <f t="array" ref="U134">IFERROR(INDEX(FORECAST!$D$12:$D$475, MATCH(1, INDEX((ISNUMBER(SEARCH($B134, FORECAST!$A$12:$A$475))) * (INT(FORECAST!$B$12:$B$475) &lt;= U$128) * (INT(FORECAST!$C$12:$C$475) &gt;= U$128), 0), 0)), "")</f>
        <v/>
      </c>
      <c r="V134" s="36" t="str" cm="1">
        <f t="array" ref="V134">IFERROR(INDEX(FORECAST!$D$12:$D$475, MATCH(1, INDEX((ISNUMBER(SEARCH($B134, FORECAST!$A$12:$A$475))) * (INT(FORECAST!$B$12:$B$475) &lt;= V$128) * (INT(FORECAST!$C$12:$C$475) &gt;= V$128), 0), 0)), "")</f>
        <v/>
      </c>
      <c r="W134" s="36" t="str" cm="1">
        <f t="array" ref="W134">IFERROR(INDEX(FORECAST!$D$12:$D$475, MATCH(1, INDEX((ISNUMBER(SEARCH($B134, FORECAST!$A$12:$A$475))) * (INT(FORECAST!$B$12:$B$475) &lt;= W$128) * (INT(FORECAST!$C$12:$C$475) &gt;= W$128), 0), 0)), "")</f>
        <v/>
      </c>
      <c r="X134" s="36" t="str" cm="1">
        <f t="array" ref="X134">IFERROR(INDEX(FORECAST!$D$12:$D$475, MATCH(1, INDEX((ISNUMBER(SEARCH($B134, FORECAST!$A$12:$A$475))) * (INT(FORECAST!$B$12:$B$475) &lt;= X$128) * (INT(FORECAST!$C$12:$C$475) &gt;= X$128), 0), 0)), "")</f>
        <v/>
      </c>
      <c r="Y134" s="36" t="str" cm="1">
        <f t="array" ref="Y134">IFERROR(INDEX(FORECAST!$D$12:$D$475, MATCH(1, INDEX((ISNUMBER(SEARCH($B134, FORECAST!$A$12:$A$475))) * (INT(FORECAST!$B$12:$B$475) &lt;= Y$128) * (INT(FORECAST!$C$12:$C$475) &gt;= Y$128), 0), 0)), "")</f>
        <v/>
      </c>
      <c r="Z134" s="36" t="str" cm="1">
        <f t="array" ref="Z134">IFERROR(INDEX(FORECAST!$D$12:$D$475, MATCH(1, INDEX((ISNUMBER(SEARCH($B134, FORECAST!$A$12:$A$475))) * (INT(FORECAST!$B$12:$B$475) &lt;= Z$128) * (INT(FORECAST!$C$12:$C$475) &gt;= Z$128), 0), 0)), "")</f>
        <v/>
      </c>
      <c r="AA134" s="36" t="str" cm="1">
        <f t="array" ref="AA134">IFERROR(INDEX(FORECAST!$D$12:$D$475, MATCH(1, INDEX((ISNUMBER(SEARCH($B134, FORECAST!$A$12:$A$475))) * (INT(FORECAST!$B$12:$B$475) &lt;= AA$128) * (INT(FORECAST!$C$12:$C$475) &gt;= AA$128), 0), 0)), "")</f>
        <v/>
      </c>
      <c r="AB134" s="36" t="str" cm="1">
        <f t="array" ref="AB134">IFERROR(INDEX(FORECAST!$D$12:$D$475, MATCH(1, INDEX((ISNUMBER(SEARCH($B134, FORECAST!$A$12:$A$475))) * (INT(FORECAST!$B$12:$B$475) &lt;= AB$128) * (INT(FORECAST!$C$12:$C$475) &gt;= AB$128), 0), 0)), "")</f>
        <v>Tentativo</v>
      </c>
      <c r="AC134" s="36" t="str" cm="1">
        <f t="array" ref="AC134">IFERROR(INDEX(FORECAST!$D$12:$D$475, MATCH(1, INDEX((ISNUMBER(SEARCH($B134, FORECAST!$A$12:$A$475))) * (INT(FORECAST!$B$12:$B$475) &lt;= AC$128) * (INT(FORECAST!$C$12:$C$475) &gt;= AC$128), 0), 0)), "")</f>
        <v>Tentativo</v>
      </c>
      <c r="AD134" s="36" t="str" cm="1">
        <f t="array" ref="AD134">IFERROR(INDEX(FORECAST!$D$12:$D$475, MATCH(1, INDEX((ISNUMBER(SEARCH($B134, FORECAST!$A$12:$A$475))) * (INT(FORECAST!$B$12:$B$475) &lt;= AD$128) * (INT(FORECAST!$C$12:$C$475) &gt;= AD$128), 0), 0)), "")</f>
        <v>Tentativo</v>
      </c>
      <c r="AE134" s="36" t="str" cm="1">
        <f t="array" ref="AE134">IFERROR(INDEX(FORECAST!$D$12:$D$475, MATCH(1, INDEX((ISNUMBER(SEARCH($B134, FORECAST!$A$12:$A$475))) * (INT(FORECAST!$B$12:$B$475) &lt;= AE$128) * (INT(FORECAST!$C$12:$C$475) &gt;= AE$128), 0), 0)), "")</f>
        <v>Tentativo</v>
      </c>
      <c r="AF134" s="36" t="str" cm="1">
        <f t="array" ref="AF134">IFERROR(INDEX(FORECAST!$D$12:$D$475, MATCH(1, INDEX((ISNUMBER(SEARCH($B134, FORECAST!$A$12:$A$475))) * (INT(FORECAST!$B$12:$B$475) &lt;= AF$128) * (INT(FORECAST!$C$12:$C$475) &gt;= AF$128), 0), 0)), "")</f>
        <v>Tentativo</v>
      </c>
      <c r="AG134" s="9"/>
      <c r="AH134" s="16"/>
      <c r="AJ134" s="45">
        <f t="shared" si="10"/>
        <v>0</v>
      </c>
    </row>
    <row r="135" spans="1:38" x14ac:dyDescent="0.25">
      <c r="A135" s="71"/>
      <c r="B135" s="25" t="s">
        <v>9</v>
      </c>
      <c r="C135" s="36" t="str" cm="1">
        <f t="array" ref="C135">IFERROR(INDEX(FORECAST!$D$12:$D$475, MATCH(1, INDEX((ISNUMBER(SEARCH($B135, FORECAST!$A$12:$A$475))) * (INT(FORECAST!$B$12:$B$475) &lt;= C$128) * (INT(FORECAST!$C$12:$C$475) &gt;= C$128), 0), 0)), "")</f>
        <v/>
      </c>
      <c r="D135" s="36" t="str" cm="1">
        <f t="array" ref="D135">IFERROR(INDEX(FORECAST!$D$12:$D$475, MATCH(1, INDEX((ISNUMBER(SEARCH($B135, FORECAST!$A$12:$A$475))) * (INT(FORECAST!$B$12:$B$475) &lt;= D$128) * (INT(FORECAST!$C$12:$C$475) &gt;= D$128), 0), 0)), "")</f>
        <v/>
      </c>
      <c r="E135" s="36" t="str" cm="1">
        <f t="array" ref="E135">IFERROR(INDEX(FORECAST!$D$12:$D$475, MATCH(1, INDEX((ISNUMBER(SEARCH($B135, FORECAST!$A$12:$A$475))) * (INT(FORECAST!$B$12:$B$475) &lt;= E$128) * (INT(FORECAST!$C$12:$C$475) &gt;= E$128), 0), 0)), "")</f>
        <v>Tentativo</v>
      </c>
      <c r="F135" s="36" t="str" cm="1">
        <f t="array" ref="F135">IFERROR(INDEX(FORECAST!$D$12:$D$475, MATCH(1, INDEX((ISNUMBER(SEARCH($B135, FORECAST!$A$12:$A$475))) * (INT(FORECAST!$B$12:$B$475) &lt;= F$128) * (INT(FORECAST!$C$12:$C$475) &gt;= F$128), 0), 0)), "")</f>
        <v>Tentativo</v>
      </c>
      <c r="G135" s="36" t="str" cm="1">
        <f t="array" ref="G135">IFERROR(INDEX(FORECAST!$D$12:$D$475, MATCH(1, INDEX((ISNUMBER(SEARCH($B135, FORECAST!$A$12:$A$475))) * (INT(FORECAST!$B$12:$B$475) &lt;= G$128) * (INT(FORECAST!$C$12:$C$475) &gt;= G$128), 0), 0)), "")</f>
        <v/>
      </c>
      <c r="H135" s="36" t="str" cm="1">
        <f t="array" ref="H135">IFERROR(INDEX(FORECAST!$D$12:$D$475, MATCH(1, INDEX((ISNUMBER(SEARCH($B135, FORECAST!$A$12:$A$475))) * (INT(FORECAST!$B$12:$B$475) &lt;= H$128) * (INT(FORECAST!$C$12:$C$475) &gt;= H$128), 0), 0)), "")</f>
        <v/>
      </c>
      <c r="I135" s="36" t="str" cm="1">
        <f t="array" ref="I135">IFERROR(INDEX(FORECAST!$D$12:$D$475, MATCH(1, INDEX((ISNUMBER(SEARCH($B135, FORECAST!$A$12:$A$475))) * (INT(FORECAST!$B$12:$B$475) &lt;= I$128) * (INT(FORECAST!$C$12:$C$475) &gt;= I$128), 0), 0)), "")</f>
        <v>Garantizado</v>
      </c>
      <c r="J135" s="36" t="str" cm="1">
        <f t="array" ref="J135">IFERROR(INDEX(FORECAST!$D$12:$D$475, MATCH(1, INDEX((ISNUMBER(SEARCH($B135, FORECAST!$A$12:$A$475))) * (INT(FORECAST!$B$12:$B$475) &lt;= J$128) * (INT(FORECAST!$C$12:$C$475) &gt;= J$128), 0), 0)), "")</f>
        <v/>
      </c>
      <c r="K135" s="36" t="str" cm="1">
        <f t="array" ref="K135">IFERROR(INDEX(FORECAST!$D$12:$D$475, MATCH(1, INDEX((ISNUMBER(SEARCH($B135, FORECAST!$A$12:$A$475))) * (INT(FORECAST!$B$12:$B$475) &lt;= K$128) * (INT(FORECAST!$C$12:$C$475) &gt;= K$128), 0), 0)), "")</f>
        <v/>
      </c>
      <c r="L135" s="36" t="str" cm="1">
        <f t="array" ref="L135">IFERROR(INDEX(FORECAST!$D$12:$D$475, MATCH(1, INDEX((ISNUMBER(SEARCH($B135, FORECAST!$A$12:$A$475))) * (INT(FORECAST!$B$12:$B$475) &lt;= L$128) * (INT(FORECAST!$C$12:$C$475) &gt;= L$128), 0), 0)), "")</f>
        <v/>
      </c>
      <c r="M135" s="36" t="str" cm="1">
        <f t="array" ref="M135">IFERROR(INDEX(FORECAST!$D$12:$D$475, MATCH(1, INDEX((ISNUMBER(SEARCH($B135, FORECAST!$A$12:$A$475))) * (INT(FORECAST!$B$12:$B$475) &lt;= M$128) * (INT(FORECAST!$C$12:$C$475) &gt;= M$128), 0), 0)), "")</f>
        <v/>
      </c>
      <c r="N135" s="36" t="str" cm="1">
        <f t="array" ref="N135">IFERROR(INDEX(FORECAST!$D$12:$D$475, MATCH(1, INDEX((ISNUMBER(SEARCH($B135, FORECAST!$A$12:$A$475))) * (INT(FORECAST!$B$12:$B$475) &lt;= N$128) * (INT(FORECAST!$C$12:$C$475) &gt;= N$128), 0), 0)), "")</f>
        <v/>
      </c>
      <c r="O135" s="36" t="str" cm="1">
        <f t="array" ref="O135">IFERROR(INDEX(FORECAST!$D$12:$D$475, MATCH(1, INDEX((ISNUMBER(SEARCH($B135, FORECAST!$A$12:$A$475))) * (INT(FORECAST!$B$12:$B$475) &lt;= O$128) * (INT(FORECAST!$C$12:$C$475) &gt;= O$128), 0), 0)), "")</f>
        <v/>
      </c>
      <c r="P135" s="36" t="str" cm="1">
        <f t="array" ref="P135">IFERROR(INDEX(FORECAST!$D$12:$D$475, MATCH(1, INDEX((ISNUMBER(SEARCH($B135, FORECAST!$A$12:$A$475))) * (INT(FORECAST!$B$12:$B$475) &lt;= P$128) * (INT(FORECAST!$C$12:$C$475) &gt;= P$128), 0), 0)), "")</f>
        <v/>
      </c>
      <c r="Q135" s="36" t="str" cm="1">
        <f t="array" ref="Q135">IFERROR(INDEX(FORECAST!$D$12:$D$475, MATCH(1, INDEX((ISNUMBER(SEARCH($B135, FORECAST!$A$12:$A$475))) * (INT(FORECAST!$B$12:$B$475) &lt;= Q$128) * (INT(FORECAST!$C$12:$C$475) &gt;= Q$128), 0), 0)), "")</f>
        <v/>
      </c>
      <c r="R135" s="36" t="str" cm="1">
        <f t="array" ref="R135">IFERROR(INDEX(FORECAST!$D$12:$D$475, MATCH(1, INDEX((ISNUMBER(SEARCH($B135, FORECAST!$A$12:$A$475))) * (INT(FORECAST!$B$12:$B$475) &lt;= R$128) * (INT(FORECAST!$C$12:$C$475) &gt;= R$128), 0), 0)), "")</f>
        <v/>
      </c>
      <c r="S135" s="36" t="str" cm="1">
        <f t="array" ref="S135">IFERROR(INDEX(FORECAST!$D$12:$D$475, MATCH(1, INDEX((ISNUMBER(SEARCH($B135, FORECAST!$A$12:$A$475))) * (INT(FORECAST!$B$12:$B$475) &lt;= S$128) * (INT(FORECAST!$C$12:$C$475) &gt;= S$128), 0), 0)), "")</f>
        <v/>
      </c>
      <c r="T135" s="36" t="str" cm="1">
        <f t="array" ref="T135">IFERROR(INDEX(FORECAST!$D$12:$D$475, MATCH(1, INDEX((ISNUMBER(SEARCH($B135, FORECAST!$A$12:$A$475))) * (INT(FORECAST!$B$12:$B$475) &lt;= T$128) * (INT(FORECAST!$C$12:$C$475) &gt;= T$128), 0), 0)), "")</f>
        <v/>
      </c>
      <c r="U135" s="36" t="str" cm="1">
        <f t="array" ref="U135">IFERROR(INDEX(FORECAST!$D$12:$D$475, MATCH(1, INDEX((ISNUMBER(SEARCH($B135, FORECAST!$A$12:$A$475))) * (INT(FORECAST!$B$12:$B$475) &lt;= U$128) * (INT(FORECAST!$C$12:$C$475) &gt;= U$128), 0), 0)), "")</f>
        <v/>
      </c>
      <c r="V135" s="36" t="str" cm="1">
        <f t="array" ref="V135">IFERROR(INDEX(FORECAST!$D$12:$D$475, MATCH(1, INDEX((ISNUMBER(SEARCH($B135, FORECAST!$A$12:$A$475))) * (INT(FORECAST!$B$12:$B$475) &lt;= V$128) * (INT(FORECAST!$C$12:$C$475) &gt;= V$128), 0), 0)), "")</f>
        <v/>
      </c>
      <c r="W135" s="36" t="str" cm="1">
        <f t="array" ref="W135">IFERROR(INDEX(FORECAST!$D$12:$D$475, MATCH(1, INDEX((ISNUMBER(SEARCH($B135, FORECAST!$A$12:$A$475))) * (INT(FORECAST!$B$12:$B$475) &lt;= W$128) * (INT(FORECAST!$C$12:$C$475) &gt;= W$128), 0), 0)), "")</f>
        <v/>
      </c>
      <c r="X135" s="36" t="str" cm="1">
        <f t="array" ref="X135">IFERROR(INDEX(FORECAST!$D$12:$D$475, MATCH(1, INDEX((ISNUMBER(SEARCH($B135, FORECAST!$A$12:$A$475))) * (INT(FORECAST!$B$12:$B$475) &lt;= X$128) * (INT(FORECAST!$C$12:$C$475) &gt;= X$128), 0), 0)), "")</f>
        <v/>
      </c>
      <c r="Y135" s="36" t="str" cm="1">
        <f t="array" ref="Y135">IFERROR(INDEX(FORECAST!$D$12:$D$475, MATCH(1, INDEX((ISNUMBER(SEARCH($B135, FORECAST!$A$12:$A$475))) * (INT(FORECAST!$B$12:$B$475) &lt;= Y$128) * (INT(FORECAST!$C$12:$C$475) &gt;= Y$128), 0), 0)), "")</f>
        <v/>
      </c>
      <c r="Z135" s="36" t="str" cm="1">
        <f t="array" ref="Z135">IFERROR(INDEX(FORECAST!$D$12:$D$475, MATCH(1, INDEX((ISNUMBER(SEARCH($B135, FORECAST!$A$12:$A$475))) * (INT(FORECAST!$B$12:$B$475) &lt;= Z$128) * (INT(FORECAST!$C$12:$C$475) &gt;= Z$128), 0), 0)), "")</f>
        <v/>
      </c>
      <c r="AA135" s="36" t="str" cm="1">
        <f t="array" ref="AA135">IFERROR(INDEX(FORECAST!$D$12:$D$475, MATCH(1, INDEX((ISNUMBER(SEARCH($B135, FORECAST!$A$12:$A$475))) * (INT(FORECAST!$B$12:$B$475) &lt;= AA$128) * (INT(FORECAST!$C$12:$C$475) &gt;= AA$128), 0), 0)), "")</f>
        <v/>
      </c>
      <c r="AB135" s="36" t="str" cm="1">
        <f t="array" ref="AB135">IFERROR(INDEX(FORECAST!$D$12:$D$475, MATCH(1, INDEX((ISNUMBER(SEARCH($B135, FORECAST!$A$12:$A$475))) * (INT(FORECAST!$B$12:$B$475) &lt;= AB$128) * (INT(FORECAST!$C$12:$C$475) &gt;= AB$128), 0), 0)), "")</f>
        <v>Tentativo</v>
      </c>
      <c r="AC135" s="36" t="str" cm="1">
        <f t="array" ref="AC135">IFERROR(INDEX(FORECAST!$D$12:$D$475, MATCH(1, INDEX((ISNUMBER(SEARCH($B135, FORECAST!$A$12:$A$475))) * (INT(FORECAST!$B$12:$B$475) &lt;= AC$128) * (INT(FORECAST!$C$12:$C$475) &gt;= AC$128), 0), 0)), "")</f>
        <v>Tentativo</v>
      </c>
      <c r="AD135" s="36" t="str" cm="1">
        <f t="array" ref="AD135">IFERROR(INDEX(FORECAST!$D$12:$D$475, MATCH(1, INDEX((ISNUMBER(SEARCH($B135, FORECAST!$A$12:$A$475))) * (INT(FORECAST!$B$12:$B$475) &lt;= AD$128) * (INT(FORECAST!$C$12:$C$475) &gt;= AD$128), 0), 0)), "")</f>
        <v>Tentativo</v>
      </c>
      <c r="AE135" s="36" t="str" cm="1">
        <f t="array" ref="AE135">IFERROR(INDEX(FORECAST!$D$12:$D$475, MATCH(1, INDEX((ISNUMBER(SEARCH($B135, FORECAST!$A$12:$A$475))) * (INT(FORECAST!$B$12:$B$475) &lt;= AE$128) * (INT(FORECAST!$C$12:$C$475) &gt;= AE$128), 0), 0)), "")</f>
        <v>Tentativo</v>
      </c>
      <c r="AF135" s="36" t="str" cm="1">
        <f t="array" ref="AF135">IFERROR(INDEX(FORECAST!$D$12:$D$475, MATCH(1, INDEX((ISNUMBER(SEARCH($B135, FORECAST!$A$12:$A$475))) * (INT(FORECAST!$B$12:$B$475) &lt;= AF$128) * (INT(FORECAST!$C$12:$C$475) &gt;= AF$128), 0), 0)), "")</f>
        <v>Tentativo</v>
      </c>
      <c r="AG135" s="9"/>
      <c r="AH135" s="2"/>
      <c r="AJ135" s="45">
        <f t="shared" si="10"/>
        <v>3.3333333333333333E-2</v>
      </c>
    </row>
    <row r="136" spans="1:38" x14ac:dyDescent="0.25">
      <c r="A136" s="72"/>
      <c r="B136" s="25" t="s">
        <v>80</v>
      </c>
      <c r="C136" s="36" t="str" cm="1">
        <f t="array" ref="C136">IFERROR(INDEX(FORECAST!$D$12:$D$475, MATCH(1, INDEX((ISNUMBER(SEARCH($B136, FORECAST!$A$12:$A$475))) * (INT(FORECAST!$B$12:$B$475) &lt;= C$128) * (INT(FORECAST!$C$12:$C$475) &gt;= C$128), 0), 0)), "")</f>
        <v/>
      </c>
      <c r="D136" s="36" t="str" cm="1">
        <f t="array" ref="D136">IFERROR(INDEX(FORECAST!$D$12:$D$475, MATCH(1, INDEX((ISNUMBER(SEARCH($B136, FORECAST!$A$12:$A$475))) * (INT(FORECAST!$B$12:$B$475) &lt;= D$128) * (INT(FORECAST!$C$12:$C$475) &gt;= D$128), 0), 0)), "")</f>
        <v>Garantizado</v>
      </c>
      <c r="E136" s="36" t="str" cm="1">
        <f t="array" ref="E136">IFERROR(INDEX(FORECAST!$D$12:$D$475, MATCH(1, INDEX((ISNUMBER(SEARCH($B136, FORECAST!$A$12:$A$475))) * (INT(FORECAST!$B$12:$B$475) &lt;= E$128) * (INT(FORECAST!$C$12:$C$475) &gt;= E$128), 0), 0)), "")</f>
        <v>Garantizado</v>
      </c>
      <c r="F136" s="36" t="str" cm="1">
        <f t="array" ref="F136">IFERROR(INDEX(FORECAST!$D$12:$D$475, MATCH(1, INDEX((ISNUMBER(SEARCH($B136, FORECAST!$A$12:$A$475))) * (INT(FORECAST!$B$12:$B$475) &lt;= F$128) * (INT(FORECAST!$C$12:$C$475) &gt;= F$128), 0), 0)), "")</f>
        <v>Garantizado</v>
      </c>
      <c r="G136" s="36" t="str" cm="1">
        <f t="array" ref="G136">IFERROR(INDEX(FORECAST!$D$12:$D$475, MATCH(1, INDEX((ISNUMBER(SEARCH($B136, FORECAST!$A$12:$A$475))) * (INT(FORECAST!$B$12:$B$475) &lt;= G$128) * (INT(FORECAST!$C$12:$C$475) &gt;= G$128), 0), 0)), "")</f>
        <v/>
      </c>
      <c r="H136" s="36" t="str" cm="1">
        <f t="array" ref="H136">IFERROR(INDEX(FORECAST!$D$12:$D$475, MATCH(1, INDEX((ISNUMBER(SEARCH($B136, FORECAST!$A$12:$A$475))) * (INT(FORECAST!$B$12:$B$475) &lt;= H$128) * (INT(FORECAST!$C$12:$C$475) &gt;= H$128), 0), 0)), "")</f>
        <v/>
      </c>
      <c r="I136" s="36" t="str" cm="1">
        <f t="array" ref="I136">IFERROR(INDEX(FORECAST!$D$12:$D$475, MATCH(1, INDEX((ISNUMBER(SEARCH($B136, FORECAST!$A$12:$A$475))) * (INT(FORECAST!$B$12:$B$475) &lt;= I$128) * (INT(FORECAST!$C$12:$C$475) &gt;= I$128), 0), 0)), "")</f>
        <v/>
      </c>
      <c r="J136" s="36" t="str" cm="1">
        <f t="array" ref="J136">IFERROR(INDEX(FORECAST!$D$12:$D$475, MATCH(1, INDEX((ISNUMBER(SEARCH($B136, FORECAST!$A$12:$A$475))) * (INT(FORECAST!$B$12:$B$475) &lt;= J$128) * (INT(FORECAST!$C$12:$C$475) &gt;= J$128), 0), 0)), "")</f>
        <v/>
      </c>
      <c r="K136" s="36" t="str" cm="1">
        <f t="array" ref="K136">IFERROR(INDEX(FORECAST!$D$12:$D$475, MATCH(1, INDEX((ISNUMBER(SEARCH($B136, FORECAST!$A$12:$A$475))) * (INT(FORECAST!$B$12:$B$475) &lt;= K$128) * (INT(FORECAST!$C$12:$C$475) &gt;= K$128), 0), 0)), "")</f>
        <v/>
      </c>
      <c r="L136" s="36" t="str" cm="1">
        <f t="array" ref="L136">IFERROR(INDEX(FORECAST!$D$12:$D$475, MATCH(1, INDEX((ISNUMBER(SEARCH($B136, FORECAST!$A$12:$A$475))) * (INT(FORECAST!$B$12:$B$475) &lt;= L$128) * (INT(FORECAST!$C$12:$C$475) &gt;= L$128), 0), 0)), "")</f>
        <v/>
      </c>
      <c r="M136" s="36" t="str" cm="1">
        <f t="array" ref="M136">IFERROR(INDEX(FORECAST!$D$12:$D$475, MATCH(1, INDEX((ISNUMBER(SEARCH($B136, FORECAST!$A$12:$A$475))) * (INT(FORECAST!$B$12:$B$475) &lt;= M$128) * (INT(FORECAST!$C$12:$C$475) &gt;= M$128), 0), 0)), "")</f>
        <v/>
      </c>
      <c r="N136" s="36" t="str" cm="1">
        <f t="array" ref="N136">IFERROR(INDEX(FORECAST!$D$12:$D$475, MATCH(1, INDEX((ISNUMBER(SEARCH($B136, FORECAST!$A$12:$A$475))) * (INT(FORECAST!$B$12:$B$475) &lt;= N$128) * (INT(FORECAST!$C$12:$C$475) &gt;= N$128), 0), 0)), "")</f>
        <v/>
      </c>
      <c r="O136" s="36" t="str" cm="1">
        <f t="array" ref="O136">IFERROR(INDEX(FORECAST!$D$12:$D$475, MATCH(1, INDEX((ISNUMBER(SEARCH($B136, FORECAST!$A$12:$A$475))) * (INT(FORECAST!$B$12:$B$475) &lt;= O$128) * (INT(FORECAST!$C$12:$C$475) &gt;= O$128), 0), 0)), "")</f>
        <v/>
      </c>
      <c r="P136" s="36" t="str" cm="1">
        <f t="array" ref="P136">IFERROR(INDEX(FORECAST!$D$12:$D$475, MATCH(1, INDEX((ISNUMBER(SEARCH($B136, FORECAST!$A$12:$A$475))) * (INT(FORECAST!$B$12:$B$475) &lt;= P$128) * (INT(FORECAST!$C$12:$C$475) &gt;= P$128), 0), 0)), "")</f>
        <v/>
      </c>
      <c r="Q136" s="36" t="str" cm="1">
        <f t="array" ref="Q136">IFERROR(INDEX(FORECAST!$D$12:$D$475, MATCH(1, INDEX((ISNUMBER(SEARCH($B136, FORECAST!$A$12:$A$475))) * (INT(FORECAST!$B$12:$B$475) &lt;= Q$128) * (INT(FORECAST!$C$12:$C$475) &gt;= Q$128), 0), 0)), "")</f>
        <v/>
      </c>
      <c r="R136" s="36" t="str" cm="1">
        <f t="array" ref="R136">IFERROR(INDEX(FORECAST!$D$12:$D$475, MATCH(1, INDEX((ISNUMBER(SEARCH($B136, FORECAST!$A$12:$A$475))) * (INT(FORECAST!$B$12:$B$475) &lt;= R$128) * (INT(FORECAST!$C$12:$C$475) &gt;= R$128), 0), 0)), "")</f>
        <v/>
      </c>
      <c r="S136" s="36" t="str" cm="1">
        <f t="array" ref="S136">IFERROR(INDEX(FORECAST!$D$12:$D$475, MATCH(1, INDEX((ISNUMBER(SEARCH($B136, FORECAST!$A$12:$A$475))) * (INT(FORECAST!$B$12:$B$475) &lt;= S$128) * (INT(FORECAST!$C$12:$C$475) &gt;= S$128), 0), 0)), "")</f>
        <v/>
      </c>
      <c r="T136" s="36" t="str" cm="1">
        <f t="array" ref="T136">IFERROR(INDEX(FORECAST!$D$12:$D$475, MATCH(1, INDEX((ISNUMBER(SEARCH($B136, FORECAST!$A$12:$A$475))) * (INT(FORECAST!$B$12:$B$475) &lt;= T$128) * (INT(FORECAST!$C$12:$C$475) &gt;= T$128), 0), 0)), "")</f>
        <v/>
      </c>
      <c r="U136" s="36" t="str" cm="1">
        <f t="array" ref="U136">IFERROR(INDEX(FORECAST!$D$12:$D$475, MATCH(1, INDEX((ISNUMBER(SEARCH($B136, FORECAST!$A$12:$A$475))) * (INT(FORECAST!$B$12:$B$475) &lt;= U$128) * (INT(FORECAST!$C$12:$C$475) &gt;= U$128), 0), 0)), "")</f>
        <v/>
      </c>
      <c r="V136" s="36" t="str" cm="1">
        <f t="array" ref="V136">IFERROR(INDEX(FORECAST!$D$12:$D$475, MATCH(1, INDEX((ISNUMBER(SEARCH($B136, FORECAST!$A$12:$A$475))) * (INT(FORECAST!$B$12:$B$475) &lt;= V$128) * (INT(FORECAST!$C$12:$C$475) &gt;= V$128), 0), 0)), "")</f>
        <v/>
      </c>
      <c r="W136" s="36" t="str" cm="1">
        <f t="array" ref="W136">IFERROR(INDEX(FORECAST!$D$12:$D$475, MATCH(1, INDEX((ISNUMBER(SEARCH($B136, FORECAST!$A$12:$A$475))) * (INT(FORECAST!$B$12:$B$475) &lt;= W$128) * (INT(FORECAST!$C$12:$C$475) &gt;= W$128), 0), 0)), "")</f>
        <v/>
      </c>
      <c r="X136" s="36" t="str" cm="1">
        <f t="array" ref="X136">IFERROR(INDEX(FORECAST!$D$12:$D$475, MATCH(1, INDEX((ISNUMBER(SEARCH($B136, FORECAST!$A$12:$A$475))) * (INT(FORECAST!$B$12:$B$475) &lt;= X$128) * (INT(FORECAST!$C$12:$C$475) &gt;= X$128), 0), 0)), "")</f>
        <v/>
      </c>
      <c r="Y136" s="36" t="str" cm="1">
        <f t="array" ref="Y136">IFERROR(INDEX(FORECAST!$D$12:$D$475, MATCH(1, INDEX((ISNUMBER(SEARCH($B136, FORECAST!$A$12:$A$475))) * (INT(FORECAST!$B$12:$B$475) &lt;= Y$128) * (INT(FORECAST!$C$12:$C$475) &gt;= Y$128), 0), 0)), "")</f>
        <v/>
      </c>
      <c r="Z136" s="36" t="str" cm="1">
        <f t="array" ref="Z136">IFERROR(INDEX(FORECAST!$D$12:$D$475, MATCH(1, INDEX((ISNUMBER(SEARCH($B136, FORECAST!$A$12:$A$475))) * (INT(FORECAST!$B$12:$B$475) &lt;= Z$128) * (INT(FORECAST!$C$12:$C$475) &gt;= Z$128), 0), 0)), "")</f>
        <v/>
      </c>
      <c r="AA136" s="36" t="str" cm="1">
        <f t="array" ref="AA136">IFERROR(INDEX(FORECAST!$D$12:$D$475, MATCH(1, INDEX((ISNUMBER(SEARCH($B136, FORECAST!$A$12:$A$475))) * (INT(FORECAST!$B$12:$B$475) &lt;= AA$128) * (INT(FORECAST!$C$12:$C$475) &gt;= AA$128), 0), 0)), "")</f>
        <v/>
      </c>
      <c r="AB136" s="36" t="str" cm="1">
        <f t="array" ref="AB136">IFERROR(INDEX(FORECAST!$D$12:$D$475, MATCH(1, INDEX((ISNUMBER(SEARCH($B136, FORECAST!$A$12:$A$475))) * (INT(FORECAST!$B$12:$B$475) &lt;= AB$128) * (INT(FORECAST!$C$12:$C$475) &gt;= AB$128), 0), 0)), "")</f>
        <v>Tentativo</v>
      </c>
      <c r="AC136" s="36" t="str" cm="1">
        <f t="array" ref="AC136">IFERROR(INDEX(FORECAST!$D$12:$D$475, MATCH(1, INDEX((ISNUMBER(SEARCH($B136, FORECAST!$A$12:$A$475))) * (INT(FORECAST!$B$12:$B$475) &lt;= AC$128) * (INT(FORECAST!$C$12:$C$475) &gt;= AC$128), 0), 0)), "")</f>
        <v>Tentativo</v>
      </c>
      <c r="AD136" s="36" t="str" cm="1">
        <f t="array" ref="AD136">IFERROR(INDEX(FORECAST!$D$12:$D$475, MATCH(1, INDEX((ISNUMBER(SEARCH($B136, FORECAST!$A$12:$A$475))) * (INT(FORECAST!$B$12:$B$475) &lt;= AD$128) * (INT(FORECAST!$C$12:$C$475) &gt;= AD$128), 0), 0)), "")</f>
        <v>Tentativo</v>
      </c>
      <c r="AE136" s="36" t="str" cm="1">
        <f t="array" ref="AE136">IFERROR(INDEX(FORECAST!$D$12:$D$475, MATCH(1, INDEX((ISNUMBER(SEARCH($B136, FORECAST!$A$12:$A$475))) * (INT(FORECAST!$B$12:$B$475) &lt;= AE$128) * (INT(FORECAST!$C$12:$C$475) &gt;= AE$128), 0), 0)), "")</f>
        <v>Tentativo</v>
      </c>
      <c r="AF136" s="36" t="str" cm="1">
        <f t="array" ref="AF136">IFERROR(INDEX(FORECAST!$D$12:$D$475, MATCH(1, INDEX((ISNUMBER(SEARCH($B136, FORECAST!$A$12:$A$475))) * (INT(FORECAST!$B$12:$B$475) &lt;= AF$128) * (INT(FORECAST!$C$12:$C$475) &gt;= AF$128), 0), 0)), "")</f>
        <v>Tentativo</v>
      </c>
      <c r="AG136" s="9"/>
      <c r="AH136" s="2"/>
      <c r="AJ136" s="45">
        <f t="shared" si="10"/>
        <v>0.1</v>
      </c>
    </row>
    <row r="137" spans="1:38" x14ac:dyDescent="0.25">
      <c r="AE137" s="9" t="str" cm="1">
        <f t="array" ref="AE137">IFERROR(INDEX(FORECAST!$E$12:$E$475, MATCH(1, INDEX((ISNUMBER(SEARCH($C137, FORECAST!$A$12:$A$475))) * (FORECAST!$B$12:$B$475 &lt;= AE$37) * (FORECAST!$C$12:$C$475 &gt;= AE$37), 0), 0)), "")</f>
        <v/>
      </c>
      <c r="AF137" s="9" t="str" cm="1">
        <f t="array" ref="AF137">IFERROR(INDEX(FORECAST!$E$12:$E$475, MATCH(1, INDEX((ISNUMBER(SEARCH($C137, FORECAST!$A$12:$A$475))) * (FORECAST!$B$12:$B$475 &lt;= AF$37) * (FORECAST!$C$12:$C$475 &gt;= AF$37), 0), 0)), "")</f>
        <v/>
      </c>
      <c r="AG137" s="9" t="str" cm="1">
        <f t="array" ref="AG137">IFERROR(INDEX(FORECAST!$E$12:$E$475, MATCH(1, INDEX((ISNUMBER(SEARCH($C137, FORECAST!$A$12:$A$475))) * (FORECAST!$B$12:$B$475 &lt;= AG$37) * (FORECAST!$C$12:$C$475 &gt;= AG$37), 0), 0)), "")</f>
        <v/>
      </c>
      <c r="AH137" s="2"/>
      <c r="AI137" s="18"/>
    </row>
    <row r="138" spans="1:38" x14ac:dyDescent="0.25">
      <c r="AF138" s="10"/>
      <c r="AG138" s="9"/>
      <c r="AH138" s="2"/>
    </row>
    <row r="139" spans="1:38" x14ac:dyDescent="0.25">
      <c r="C139" s="1" t="s">
        <v>507</v>
      </c>
      <c r="D139" s="1" t="s">
        <v>508</v>
      </c>
      <c r="E139" s="1" t="s">
        <v>502</v>
      </c>
      <c r="F139" s="1" t="s">
        <v>503</v>
      </c>
      <c r="G139" s="7" t="s">
        <v>504</v>
      </c>
      <c r="H139" s="7" t="s">
        <v>505</v>
      </c>
      <c r="I139" s="56" t="s">
        <v>506</v>
      </c>
      <c r="J139" s="13" t="s">
        <v>507</v>
      </c>
      <c r="K139" s="1" t="s">
        <v>508</v>
      </c>
      <c r="L139" s="1" t="s">
        <v>502</v>
      </c>
      <c r="M139" s="1" t="s">
        <v>503</v>
      </c>
      <c r="N139" s="7" t="s">
        <v>504</v>
      </c>
      <c r="O139" s="7" t="s">
        <v>505</v>
      </c>
      <c r="P139" s="1" t="s">
        <v>506</v>
      </c>
      <c r="Q139" s="1" t="s">
        <v>507</v>
      </c>
      <c r="R139" s="1" t="s">
        <v>508</v>
      </c>
      <c r="S139" s="1" t="s">
        <v>502</v>
      </c>
      <c r="T139" s="16" t="s">
        <v>503</v>
      </c>
      <c r="U139" s="7" t="s">
        <v>509</v>
      </c>
      <c r="V139" s="7" t="s">
        <v>510</v>
      </c>
      <c r="W139" s="1" t="s">
        <v>511</v>
      </c>
      <c r="X139" s="16" t="s">
        <v>512</v>
      </c>
      <c r="Y139" s="1" t="s">
        <v>513</v>
      </c>
      <c r="Z139" s="1" t="s">
        <v>514</v>
      </c>
      <c r="AA139" s="13" t="s">
        <v>515</v>
      </c>
      <c r="AB139" s="7" t="s">
        <v>509</v>
      </c>
      <c r="AC139" s="7" t="s">
        <v>510</v>
      </c>
      <c r="AD139" s="1" t="s">
        <v>511</v>
      </c>
      <c r="AE139" s="16" t="s">
        <v>512</v>
      </c>
      <c r="AF139" s="1" t="s">
        <v>513</v>
      </c>
      <c r="AG139" s="16" t="s">
        <v>514</v>
      </c>
      <c r="AH139" s="2"/>
    </row>
    <row r="140" spans="1:38" x14ac:dyDescent="0.25">
      <c r="C140" s="35">
        <v>46357</v>
      </c>
      <c r="D140" s="35">
        <v>46358</v>
      </c>
      <c r="E140" s="35">
        <v>46359</v>
      </c>
      <c r="F140" s="35">
        <v>46360</v>
      </c>
      <c r="G140" s="35">
        <v>46361</v>
      </c>
      <c r="H140" s="35">
        <v>46362</v>
      </c>
      <c r="I140" s="35">
        <v>46363</v>
      </c>
      <c r="J140" s="35">
        <v>46364</v>
      </c>
      <c r="K140" s="35">
        <v>46365</v>
      </c>
      <c r="L140" s="35">
        <v>46366</v>
      </c>
      <c r="M140" s="35">
        <v>46367</v>
      </c>
      <c r="N140" s="35">
        <v>46368</v>
      </c>
      <c r="O140" s="35">
        <v>46369</v>
      </c>
      <c r="P140" s="35">
        <v>46370</v>
      </c>
      <c r="Q140" s="35">
        <v>46371</v>
      </c>
      <c r="R140" s="35">
        <v>46372</v>
      </c>
      <c r="S140" s="35">
        <v>46373</v>
      </c>
      <c r="T140" s="35">
        <v>46374</v>
      </c>
      <c r="U140" s="35">
        <v>46375</v>
      </c>
      <c r="V140" s="35">
        <v>46376</v>
      </c>
      <c r="W140" s="35">
        <v>46377</v>
      </c>
      <c r="X140" s="35">
        <v>46378</v>
      </c>
      <c r="Y140" s="35">
        <v>46379</v>
      </c>
      <c r="Z140" s="35">
        <v>46380</v>
      </c>
      <c r="AA140" s="35">
        <v>46381</v>
      </c>
      <c r="AB140" s="35">
        <v>46382</v>
      </c>
      <c r="AC140" s="35">
        <v>46383</v>
      </c>
      <c r="AD140" s="35">
        <v>46384</v>
      </c>
      <c r="AE140" s="35">
        <v>46385</v>
      </c>
      <c r="AF140" s="35">
        <v>46386</v>
      </c>
      <c r="AG140" s="35">
        <v>46387</v>
      </c>
      <c r="AH140" s="2"/>
      <c r="AJ140" s="22" t="s">
        <v>516</v>
      </c>
    </row>
    <row r="141" spans="1:38" ht="15" customHeight="1" x14ac:dyDescent="0.25">
      <c r="A141" s="68" t="s">
        <v>535</v>
      </c>
      <c r="B141" s="25" t="s">
        <v>518</v>
      </c>
      <c r="C141" s="36" t="str" cm="1">
        <f t="array" ref="C141">IFERROR(INDEX(FORECAST!$D$12:$D$475, MATCH(1, INDEX((ISNUMBER(SEARCH($B141, FORECAST!$A$12:$A$475))) * (INT(FORECAST!$B$12:$B$475) &lt;= C$140) * (INT(FORECAST!$C$12:$C$475) &gt;= C$140), 0), 0)), "")</f>
        <v>Tentativo</v>
      </c>
      <c r="D141" s="36" t="str" cm="1">
        <f t="array" ref="D141">IFERROR(INDEX(FORECAST!$D$12:$D$475, MATCH(1, INDEX((ISNUMBER(SEARCH($B141, FORECAST!$A$12:$A$475))) * (INT(FORECAST!$B$12:$B$475) &lt;= D$140) * (INT(FORECAST!$C$12:$C$475) &gt;= D$140), 0), 0)), "")</f>
        <v/>
      </c>
      <c r="E141" s="36" t="str" cm="1">
        <f t="array" ref="E141">IFERROR(INDEX(FORECAST!$D$12:$D$475, MATCH(1, INDEX((ISNUMBER(SEARCH($B141, FORECAST!$A$12:$A$475))) * (INT(FORECAST!$B$12:$B$475) &lt;= E$140) * (INT(FORECAST!$C$12:$C$475) &gt;= E$140), 0), 0)), "")</f>
        <v/>
      </c>
      <c r="F141" s="36" t="str" cm="1">
        <f t="array" ref="F141">IFERROR(INDEX(FORECAST!$D$12:$D$475, MATCH(1, INDEX((ISNUMBER(SEARCH($B141, FORECAST!$A$12:$A$475))) * (INT(FORECAST!$B$12:$B$475) &lt;= F$140) * (INT(FORECAST!$C$12:$C$475) &gt;= F$140), 0), 0)), "")</f>
        <v>Garantizado</v>
      </c>
      <c r="G141" s="36" t="str" cm="1">
        <f t="array" ref="G141">IFERROR(INDEX(FORECAST!$D$12:$D$475, MATCH(1, INDEX((ISNUMBER(SEARCH($B141, FORECAST!$A$12:$A$475))) * (INT(FORECAST!$B$12:$B$475) &lt;= G$140) * (INT(FORECAST!$C$12:$C$475) &gt;= G$140), 0), 0)), "")</f>
        <v>Garantizado</v>
      </c>
      <c r="H141" s="36" t="str" cm="1">
        <f t="array" ref="H141">IFERROR(INDEX(FORECAST!$D$12:$D$475, MATCH(1, INDEX((ISNUMBER(SEARCH($B141, FORECAST!$A$12:$A$475))) * (INT(FORECAST!$B$12:$B$475) &lt;= H$140) * (INT(FORECAST!$C$12:$C$475) &gt;= H$140), 0), 0)), "")</f>
        <v/>
      </c>
      <c r="I141" s="36" t="str" cm="1">
        <f t="array" ref="I141">IFERROR(INDEX(FORECAST!$D$12:$D$475, MATCH(1, INDEX((ISNUMBER(SEARCH($B141, FORECAST!$A$12:$A$475))) * (INT(FORECAST!$B$12:$B$475) &lt;= I$140) * (INT(FORECAST!$C$12:$C$475) &gt;= I$140), 0), 0)), "")</f>
        <v/>
      </c>
      <c r="J141" s="36" t="str" cm="1">
        <f t="array" ref="J141">IFERROR(INDEX(FORECAST!$D$12:$D$475, MATCH(1, INDEX((ISNUMBER(SEARCH($B141, FORECAST!$A$12:$A$475))) * (INT(FORECAST!$B$12:$B$475) &lt;= J$140) * (INT(FORECAST!$C$12:$C$475) &gt;= J$140), 0), 0)), "")</f>
        <v/>
      </c>
      <c r="K141" s="36" t="str" cm="1">
        <f t="array" ref="K141">IFERROR(INDEX(FORECAST!$D$12:$D$475, MATCH(1, INDEX((ISNUMBER(SEARCH($B141, FORECAST!$A$12:$A$475))) * (INT(FORECAST!$B$12:$B$475) &lt;= K$140) * (INT(FORECAST!$C$12:$C$475) &gt;= K$140), 0), 0)), "")</f>
        <v/>
      </c>
      <c r="L141" s="36" t="str" cm="1">
        <f t="array" ref="L141">IFERROR(INDEX(FORECAST!$D$12:$D$475, MATCH(1, INDEX((ISNUMBER(SEARCH($B141, FORECAST!$A$12:$A$475))) * (INT(FORECAST!$B$12:$B$475) &lt;= L$140) * (INT(FORECAST!$C$12:$C$475) &gt;= L$140), 0), 0)), "")</f>
        <v/>
      </c>
      <c r="M141" s="36" t="str" cm="1">
        <f t="array" ref="M141">IFERROR(INDEX(FORECAST!$D$12:$D$475, MATCH(1, INDEX((ISNUMBER(SEARCH($B141, FORECAST!$A$12:$A$475))) * (INT(FORECAST!$B$12:$B$475) &lt;= M$140) * (INT(FORECAST!$C$12:$C$475) &gt;= M$140), 0), 0)), "")</f>
        <v>Presupuesto</v>
      </c>
      <c r="N141" s="36" t="str" cm="1">
        <f t="array" ref="N141">IFERROR(INDEX(FORECAST!$D$12:$D$475, MATCH(1, INDEX((ISNUMBER(SEARCH($B141, FORECAST!$A$12:$A$475))) * (INT(FORECAST!$B$12:$B$475) &lt;= N$140) * (INT(FORECAST!$C$12:$C$475) &gt;= N$140), 0), 0)), "")</f>
        <v/>
      </c>
      <c r="O141" s="36" t="str" cm="1">
        <f t="array" ref="O141">IFERROR(INDEX(FORECAST!$D$12:$D$475, MATCH(1, INDEX((ISNUMBER(SEARCH($B141, FORECAST!$A$12:$A$475))) * (INT(FORECAST!$B$12:$B$475) &lt;= O$140) * (INT(FORECAST!$C$12:$C$475) &gt;= O$140), 0), 0)), "")</f>
        <v/>
      </c>
      <c r="P141" s="36" t="str" cm="1">
        <f t="array" ref="P141">IFERROR(INDEX(FORECAST!$D$12:$D$475, MATCH(1, INDEX((ISNUMBER(SEARCH($B141, FORECAST!$A$12:$A$475))) * (INT(FORECAST!$B$12:$B$475) &lt;= P$140) * (INT(FORECAST!$C$12:$C$475) &gt;= P$140), 0), 0)), "")</f>
        <v/>
      </c>
      <c r="Q141" s="36" t="str" cm="1">
        <f t="array" ref="Q141">IFERROR(INDEX(FORECAST!$D$12:$D$475, MATCH(1, INDEX((ISNUMBER(SEARCH($B141, FORECAST!$A$12:$A$475))) * (INT(FORECAST!$B$12:$B$475) &lt;= Q$140) * (INT(FORECAST!$C$12:$C$475) &gt;= Q$140), 0), 0)), "")</f>
        <v/>
      </c>
      <c r="R141" s="36" t="str" cm="1">
        <f t="array" ref="R141">IFERROR(INDEX(FORECAST!$D$12:$D$475, MATCH(1, INDEX((ISNUMBER(SEARCH($B141, FORECAST!$A$12:$A$475))) * (INT(FORECAST!$B$12:$B$475) &lt;= R$140) * (INT(FORECAST!$C$12:$C$475) &gt;= R$140), 0), 0)), "")</f>
        <v/>
      </c>
      <c r="S141" s="36" t="str" cm="1">
        <f t="array" ref="S141">IFERROR(INDEX(FORECAST!$D$12:$D$475, MATCH(1, INDEX((ISNUMBER(SEARCH($B141, FORECAST!$A$12:$A$475))) * (INT(FORECAST!$B$12:$B$475) &lt;= S$140) * (INT(FORECAST!$C$12:$C$475) &gt;= S$140), 0), 0)), "")</f>
        <v/>
      </c>
      <c r="T141" s="36" t="str" cm="1">
        <f t="array" ref="T141">IFERROR(INDEX(FORECAST!$D$12:$D$475, MATCH(1, INDEX((ISNUMBER(SEARCH($B141, FORECAST!$A$12:$A$475))) * (INT(FORECAST!$B$12:$B$475) &lt;= T$140) * (INT(FORECAST!$C$12:$C$475) &gt;= T$140), 0), 0)), "")</f>
        <v/>
      </c>
      <c r="U141" s="36" t="str" cm="1">
        <f t="array" ref="U141">IFERROR(INDEX(FORECAST!$D$12:$D$475, MATCH(1, INDEX((ISNUMBER(SEARCH($B141, FORECAST!$A$12:$A$475))) * (INT(FORECAST!$B$12:$B$475) &lt;= U$140) * (INT(FORECAST!$C$12:$C$475) &gt;= U$140), 0), 0)), "")</f>
        <v/>
      </c>
      <c r="V141" s="36" t="str" cm="1">
        <f t="array" ref="V141">IFERROR(INDEX(FORECAST!$D$12:$D$475, MATCH(1, INDEX((ISNUMBER(SEARCH($B141, FORECAST!$A$12:$A$475))) * (INT(FORECAST!$B$12:$B$475) &lt;= V$140) * (INT(FORECAST!$C$12:$C$475) &gt;= V$140), 0), 0)), "")</f>
        <v/>
      </c>
      <c r="W141" s="36" t="str" cm="1">
        <f t="array" ref="W141">IFERROR(INDEX(FORECAST!$D$12:$D$475, MATCH(1, INDEX((ISNUMBER(SEARCH($B141, FORECAST!$A$12:$A$475))) * (INT(FORECAST!$B$12:$B$475) &lt;= W$140) * (INT(FORECAST!$C$12:$C$475) &gt;= W$140), 0), 0)), "")</f>
        <v/>
      </c>
      <c r="X141" s="36" t="str" cm="1">
        <f t="array" ref="X141">IFERROR(INDEX(FORECAST!$D$12:$D$475, MATCH(1, INDEX((ISNUMBER(SEARCH($B141, FORECAST!$A$12:$A$475))) * (INT(FORECAST!$B$12:$B$475) &lt;= X$140) * (INT(FORECAST!$C$12:$C$475) &gt;= X$140), 0), 0)), "")</f>
        <v/>
      </c>
      <c r="Y141" s="36" t="str" cm="1">
        <f t="array" ref="Y141">IFERROR(INDEX(FORECAST!$D$12:$D$475, MATCH(1, INDEX((ISNUMBER(SEARCH($B141, FORECAST!$A$12:$A$475))) * (INT(FORECAST!$B$12:$B$475) &lt;= Y$140) * (INT(FORECAST!$C$12:$C$475) &gt;= Y$140), 0), 0)), "")</f>
        <v/>
      </c>
      <c r="Z141" s="36" t="str" cm="1">
        <f t="array" ref="Z141">IFERROR(INDEX(FORECAST!$D$12:$D$475, MATCH(1, INDEX((ISNUMBER(SEARCH($B141, FORECAST!$A$12:$A$475))) * (INT(FORECAST!$B$12:$B$475) &lt;= Z$140) * (INT(FORECAST!$C$12:$C$475) &gt;= Z$140), 0), 0)), "")</f>
        <v/>
      </c>
      <c r="AA141" s="36" t="str" cm="1">
        <f t="array" ref="AA141">IFERROR(INDEX(FORECAST!$D$12:$D$475, MATCH(1, INDEX((ISNUMBER(SEARCH($B141, FORECAST!$A$12:$A$475))) * (INT(FORECAST!$B$12:$B$475) &lt;= AA$140) * (INT(FORECAST!$C$12:$C$475) &gt;= AA$140), 0), 0)), "")</f>
        <v/>
      </c>
      <c r="AB141" s="36" t="str" cm="1">
        <f t="array" ref="AB141">IFERROR(INDEX(FORECAST!$D$12:$D$475, MATCH(1, INDEX((ISNUMBER(SEARCH($B141, FORECAST!$A$12:$A$475))) * (INT(FORECAST!$B$12:$B$475) &lt;= AB$140) * (INT(FORECAST!$C$12:$C$475) &gt;= AB$140), 0), 0)), "")</f>
        <v/>
      </c>
      <c r="AC141" s="36" t="str" cm="1">
        <f t="array" ref="AC141">IFERROR(INDEX(FORECAST!$D$12:$D$475, MATCH(1, INDEX((ISNUMBER(SEARCH($B141, FORECAST!$A$12:$A$475))) * (INT(FORECAST!$B$12:$B$475) &lt;= AC$140) * (INT(FORECAST!$C$12:$C$475) &gt;= AC$140), 0), 0)), "")</f>
        <v/>
      </c>
      <c r="AD141" s="36" t="str" cm="1">
        <f t="array" ref="AD141">IFERROR(INDEX(FORECAST!$D$12:$D$475, MATCH(1, INDEX((ISNUMBER(SEARCH($B141, FORECAST!$A$12:$A$475))) * (INT(FORECAST!$B$12:$B$475) &lt;= AD$140) * (INT(FORECAST!$C$12:$C$475) &gt;= AD$140), 0), 0)), "")</f>
        <v/>
      </c>
      <c r="AE141" s="36" t="str" cm="1">
        <f t="array" ref="AE141">IFERROR(INDEX(FORECAST!$D$12:$D$475, MATCH(1, INDEX((ISNUMBER(SEARCH($B141, FORECAST!$A$12:$A$475))) * (INT(FORECAST!$B$12:$B$475) &lt;= AE$140) * (INT(FORECAST!$C$12:$C$475) &gt;= AE$140), 0), 0)), "")</f>
        <v/>
      </c>
      <c r="AF141" s="36" t="str" cm="1">
        <f t="array" ref="AF141">IFERROR(INDEX(FORECAST!$D$12:$D$475, MATCH(1, INDEX((ISNUMBER(SEARCH($B141, FORECAST!$A$12:$A$475))) * (INT(FORECAST!$B$12:$B$475) &lt;= AF$140) * (INT(FORECAST!$C$12:$C$475) &gt;= AF$140), 0), 0)), "")</f>
        <v/>
      </c>
      <c r="AG141" s="36" t="str" cm="1">
        <f t="array" ref="AG141">IFERROR(INDEX(FORECAST!$D$12:$D$475, MATCH(1, INDEX((ISNUMBER(SEARCH($B141, FORECAST!$A$12:$A$475))) * (INT(FORECAST!$B$12:$B$475) &lt;= AG$140) * (INT(FORECAST!$C$12:$C$475) &gt;= AG$140), 0), 0)), "")</f>
        <v/>
      </c>
      <c r="AH141" s="2"/>
      <c r="AJ141" s="45">
        <f>COUNTIF(C141:AG141,"Garantizado")/31</f>
        <v>6.4516129032258063E-2</v>
      </c>
    </row>
    <row r="142" spans="1:38" x14ac:dyDescent="0.25">
      <c r="A142" s="69"/>
      <c r="B142" s="25" t="s">
        <v>519</v>
      </c>
      <c r="C142" s="36" t="str" cm="1">
        <f t="array" ref="C142">IFERROR(INDEX(FORECAST!$D$12:$D$475, MATCH(1, INDEX((ISNUMBER(SEARCH($B142, FORECAST!$A$12:$A$475))) * (INT(FORECAST!$B$12:$B$475) &lt;= C$140) * (INT(FORECAST!$C$12:$C$475) &gt;= C$140), 0), 0)), "")</f>
        <v>Tentativo</v>
      </c>
      <c r="D142" s="36" t="str" cm="1">
        <f t="array" ref="D142">IFERROR(INDEX(FORECAST!$D$12:$D$475, MATCH(1, INDEX((ISNUMBER(SEARCH($B142, FORECAST!$A$12:$A$475))) * (INT(FORECAST!$B$12:$B$475) &lt;= D$140) * (INT(FORECAST!$C$12:$C$475) &gt;= D$140), 0), 0)), "")</f>
        <v/>
      </c>
      <c r="E142" s="36" t="str" cm="1">
        <f t="array" ref="E142">IFERROR(INDEX(FORECAST!$D$12:$D$475, MATCH(1, INDEX((ISNUMBER(SEARCH($B142, FORECAST!$A$12:$A$475))) * (INT(FORECAST!$B$12:$B$475) &lt;= E$140) * (INT(FORECAST!$C$12:$C$475) &gt;= E$140), 0), 0)), "")</f>
        <v/>
      </c>
      <c r="F142" s="36" t="str" cm="1">
        <f t="array" ref="F142">IFERROR(INDEX(FORECAST!$D$12:$D$475, MATCH(1, INDEX((ISNUMBER(SEARCH($B142, FORECAST!$A$12:$A$475))) * (INT(FORECAST!$B$12:$B$475) &lt;= F$140) * (INT(FORECAST!$C$12:$C$475) &gt;= F$140), 0), 0)), "")</f>
        <v/>
      </c>
      <c r="G142" s="36" t="str" cm="1">
        <f t="array" ref="G142">IFERROR(INDEX(FORECAST!$D$12:$D$475, MATCH(1, INDEX((ISNUMBER(SEARCH($B142, FORECAST!$A$12:$A$475))) * (INT(FORECAST!$B$12:$B$475) &lt;= G$140) * (INT(FORECAST!$C$12:$C$475) &gt;= G$140), 0), 0)), "")</f>
        <v/>
      </c>
      <c r="H142" s="36" t="str" cm="1">
        <f t="array" ref="H142">IFERROR(INDEX(FORECAST!$D$12:$D$475, MATCH(1, INDEX((ISNUMBER(SEARCH($B142, FORECAST!$A$12:$A$475))) * (INT(FORECAST!$B$12:$B$475) &lt;= H$140) * (INT(FORECAST!$C$12:$C$475) &gt;= H$140), 0), 0)), "")</f>
        <v/>
      </c>
      <c r="I142" s="36" t="str" cm="1">
        <f t="array" ref="I142">IFERROR(INDEX(FORECAST!$D$12:$D$475, MATCH(1, INDEX((ISNUMBER(SEARCH($B142, FORECAST!$A$12:$A$475))) * (INT(FORECAST!$B$12:$B$475) &lt;= I$140) * (INT(FORECAST!$C$12:$C$475) &gt;= I$140), 0), 0)), "")</f>
        <v/>
      </c>
      <c r="J142" s="36" t="str" cm="1">
        <f t="array" ref="J142">IFERROR(INDEX(FORECAST!$D$12:$D$475, MATCH(1, INDEX((ISNUMBER(SEARCH($B142, FORECAST!$A$12:$A$475))) * (INT(FORECAST!$B$12:$B$475) &lt;= J$140) * (INT(FORECAST!$C$12:$C$475) &gt;= J$140), 0), 0)), "")</f>
        <v/>
      </c>
      <c r="K142" s="36" t="str" cm="1">
        <f t="array" ref="K142">IFERROR(INDEX(FORECAST!$D$12:$D$475, MATCH(1, INDEX((ISNUMBER(SEARCH($B142, FORECAST!$A$12:$A$475))) * (INT(FORECAST!$B$12:$B$475) &lt;= K$140) * (INT(FORECAST!$C$12:$C$475) &gt;= K$140), 0), 0)), "")</f>
        <v/>
      </c>
      <c r="L142" s="36" t="str" cm="1">
        <f t="array" ref="L142">IFERROR(INDEX(FORECAST!$D$12:$D$475, MATCH(1, INDEX((ISNUMBER(SEARCH($B142, FORECAST!$A$12:$A$475))) * (INT(FORECAST!$B$12:$B$475) &lt;= L$140) * (INT(FORECAST!$C$12:$C$475) &gt;= L$140), 0), 0)), "")</f>
        <v/>
      </c>
      <c r="M142" s="36" t="str" cm="1">
        <f t="array" ref="M142">IFERROR(INDEX(FORECAST!$D$12:$D$475, MATCH(1, INDEX((ISNUMBER(SEARCH($B142, FORECAST!$A$12:$A$475))) * (INT(FORECAST!$B$12:$B$475) &lt;= M$140) * (INT(FORECAST!$C$12:$C$475) &gt;= M$140), 0), 0)), "")</f>
        <v/>
      </c>
      <c r="N142" s="36" t="str" cm="1">
        <f t="array" ref="N142">IFERROR(INDEX(FORECAST!$D$12:$D$475, MATCH(1, INDEX((ISNUMBER(SEARCH($B142, FORECAST!$A$12:$A$475))) * (INT(FORECAST!$B$12:$B$475) &lt;= N$140) * (INT(FORECAST!$C$12:$C$475) &gt;= N$140), 0), 0)), "")</f>
        <v/>
      </c>
      <c r="O142" s="36" t="str" cm="1">
        <f t="array" ref="O142">IFERROR(INDEX(FORECAST!$D$12:$D$475, MATCH(1, INDEX((ISNUMBER(SEARCH($B142, FORECAST!$A$12:$A$475))) * (INT(FORECAST!$B$12:$B$475) &lt;= O$140) * (INT(FORECAST!$C$12:$C$475) &gt;= O$140), 0), 0)), "")</f>
        <v/>
      </c>
      <c r="P142" s="36" t="str" cm="1">
        <f t="array" ref="P142">IFERROR(INDEX(FORECAST!$D$12:$D$475, MATCH(1, INDEX((ISNUMBER(SEARCH($B142, FORECAST!$A$12:$A$475))) * (INT(FORECAST!$B$12:$B$475) &lt;= P$140) * (INT(FORECAST!$C$12:$C$475) &gt;= P$140), 0), 0)), "")</f>
        <v/>
      </c>
      <c r="Q142" s="36" t="str" cm="1">
        <f t="array" ref="Q142">IFERROR(INDEX(FORECAST!$D$12:$D$475, MATCH(1, INDEX((ISNUMBER(SEARCH($B142, FORECAST!$A$12:$A$475))) * (INT(FORECAST!$B$12:$B$475) &lt;= Q$140) * (INT(FORECAST!$C$12:$C$475) &gt;= Q$140), 0), 0)), "")</f>
        <v/>
      </c>
      <c r="R142" s="36" t="str" cm="1">
        <f t="array" ref="R142">IFERROR(INDEX(FORECAST!$D$12:$D$475, MATCH(1, INDEX((ISNUMBER(SEARCH($B142, FORECAST!$A$12:$A$475))) * (INT(FORECAST!$B$12:$B$475) &lt;= R$140) * (INT(FORECAST!$C$12:$C$475) &gt;= R$140), 0), 0)), "")</f>
        <v/>
      </c>
      <c r="S142" s="36" t="str" cm="1">
        <f t="array" ref="S142">IFERROR(INDEX(FORECAST!$D$12:$D$475, MATCH(1, INDEX((ISNUMBER(SEARCH($B142, FORECAST!$A$12:$A$475))) * (INT(FORECAST!$B$12:$B$475) &lt;= S$140) * (INT(FORECAST!$C$12:$C$475) &gt;= S$140), 0), 0)), "")</f>
        <v/>
      </c>
      <c r="T142" s="36" t="str" cm="1">
        <f t="array" ref="T142">IFERROR(INDEX(FORECAST!$D$12:$D$475, MATCH(1, INDEX((ISNUMBER(SEARCH($B142, FORECAST!$A$12:$A$475))) * (INT(FORECAST!$B$12:$B$475) &lt;= T$140) * (INT(FORECAST!$C$12:$C$475) &gt;= T$140), 0), 0)), "")</f>
        <v/>
      </c>
      <c r="U142" s="36" t="str" cm="1">
        <f t="array" ref="U142">IFERROR(INDEX(FORECAST!$D$12:$D$475, MATCH(1, INDEX((ISNUMBER(SEARCH($B142, FORECAST!$A$12:$A$475))) * (INT(FORECAST!$B$12:$B$475) &lt;= U$140) * (INT(FORECAST!$C$12:$C$475) &gt;= U$140), 0), 0)), "")</f>
        <v/>
      </c>
      <c r="V142" s="36" t="str" cm="1">
        <f t="array" ref="V142">IFERROR(INDEX(FORECAST!$D$12:$D$475, MATCH(1, INDEX((ISNUMBER(SEARCH($B142, FORECAST!$A$12:$A$475))) * (INT(FORECAST!$B$12:$B$475) &lt;= V$140) * (INT(FORECAST!$C$12:$C$475) &gt;= V$140), 0), 0)), "")</f>
        <v/>
      </c>
      <c r="W142" s="36" t="str" cm="1">
        <f t="array" ref="W142">IFERROR(INDEX(FORECAST!$D$12:$D$475, MATCH(1, INDEX((ISNUMBER(SEARCH($B142, FORECAST!$A$12:$A$475))) * (INT(FORECAST!$B$12:$B$475) &lt;= W$140) * (INT(FORECAST!$C$12:$C$475) &gt;= W$140), 0), 0)), "")</f>
        <v/>
      </c>
      <c r="X142" s="36" t="str" cm="1">
        <f t="array" ref="X142">IFERROR(INDEX(FORECAST!$D$12:$D$475, MATCH(1, INDEX((ISNUMBER(SEARCH($B142, FORECAST!$A$12:$A$475))) * (INT(FORECAST!$B$12:$B$475) &lt;= X$140) * (INT(FORECAST!$C$12:$C$475) &gt;= X$140), 0), 0)), "")</f>
        <v/>
      </c>
      <c r="Y142" s="36" t="str" cm="1">
        <f t="array" ref="Y142">IFERROR(INDEX(FORECAST!$D$12:$D$475, MATCH(1, INDEX((ISNUMBER(SEARCH($B142, FORECAST!$A$12:$A$475))) * (INT(FORECAST!$B$12:$B$475) &lt;= Y$140) * (INT(FORECAST!$C$12:$C$475) &gt;= Y$140), 0), 0)), "")</f>
        <v/>
      </c>
      <c r="Z142" s="36" t="str" cm="1">
        <f t="array" ref="Z142">IFERROR(INDEX(FORECAST!$D$12:$D$475, MATCH(1, INDEX((ISNUMBER(SEARCH($B142, FORECAST!$A$12:$A$475))) * (INT(FORECAST!$B$12:$B$475) &lt;= Z$140) * (INT(FORECAST!$C$12:$C$475) &gt;= Z$140), 0), 0)), "")</f>
        <v/>
      </c>
      <c r="AA142" s="36" t="str" cm="1">
        <f t="array" ref="AA142">IFERROR(INDEX(FORECAST!$D$12:$D$475, MATCH(1, INDEX((ISNUMBER(SEARCH($B142, FORECAST!$A$12:$A$475))) * (INT(FORECAST!$B$12:$B$475) &lt;= AA$140) * (INT(FORECAST!$C$12:$C$475) &gt;= AA$140), 0), 0)), "")</f>
        <v/>
      </c>
      <c r="AB142" s="36" t="str" cm="1">
        <f t="array" ref="AB142">IFERROR(INDEX(FORECAST!$D$12:$D$475, MATCH(1, INDEX((ISNUMBER(SEARCH($B142, FORECAST!$A$12:$A$475))) * (INT(FORECAST!$B$12:$B$475) &lt;= AB$140) * (INT(FORECAST!$C$12:$C$475) &gt;= AB$140), 0), 0)), "")</f>
        <v/>
      </c>
      <c r="AC142" s="36" t="str" cm="1">
        <f t="array" ref="AC142">IFERROR(INDEX(FORECAST!$D$12:$D$475, MATCH(1, INDEX((ISNUMBER(SEARCH($B142, FORECAST!$A$12:$A$475))) * (INT(FORECAST!$B$12:$B$475) &lt;= AC$140) * (INT(FORECAST!$C$12:$C$475) &gt;= AC$140), 0), 0)), "")</f>
        <v/>
      </c>
      <c r="AD142" s="36" t="str" cm="1">
        <f t="array" ref="AD142">IFERROR(INDEX(FORECAST!$D$12:$D$475, MATCH(1, INDEX((ISNUMBER(SEARCH($B142, FORECAST!$A$12:$A$475))) * (INT(FORECAST!$B$12:$B$475) &lt;= AD$140) * (INT(FORECAST!$C$12:$C$475) &gt;= AD$140), 0), 0)), "")</f>
        <v/>
      </c>
      <c r="AE142" s="36" t="str" cm="1">
        <f t="array" ref="AE142">IFERROR(INDEX(FORECAST!$D$12:$D$475, MATCH(1, INDEX((ISNUMBER(SEARCH($B142, FORECAST!$A$12:$A$475))) * (INT(FORECAST!$B$12:$B$475) &lt;= AE$140) * (INT(FORECAST!$C$12:$C$475) &gt;= AE$140), 0), 0)), "")</f>
        <v/>
      </c>
      <c r="AF142" s="36" t="str" cm="1">
        <f t="array" ref="AF142">IFERROR(INDEX(FORECAST!$D$12:$D$475, MATCH(1, INDEX((ISNUMBER(SEARCH($B142, FORECAST!$A$12:$A$475))) * (INT(FORECAST!$B$12:$B$475) &lt;= AF$140) * (INT(FORECAST!$C$12:$C$475) &gt;= AF$140), 0), 0)), "")</f>
        <v/>
      </c>
      <c r="AG142" s="36" t="str" cm="1">
        <f t="array" ref="AG142">IFERROR(INDEX(FORECAST!$D$12:$D$475, MATCH(1, INDEX((ISNUMBER(SEARCH($B142, FORECAST!$A$12:$A$475))) * (INT(FORECAST!$B$12:$B$475) &lt;= AG$140) * (INT(FORECAST!$C$12:$C$475) &gt;= AG$140), 0), 0)), "")</f>
        <v/>
      </c>
      <c r="AH142" s="2"/>
      <c r="AJ142" s="45">
        <f t="shared" ref="AJ142:AJ147" si="11">COUNTIF(C142:AG142,"Garantizado")/31</f>
        <v>0</v>
      </c>
    </row>
    <row r="143" spans="1:38" x14ac:dyDescent="0.25">
      <c r="A143" s="69"/>
      <c r="B143" s="25" t="s">
        <v>279</v>
      </c>
      <c r="C143" s="36" t="str" cm="1">
        <f t="array" ref="C143">IFERROR(INDEX(FORECAST!$D$12:$D$475, MATCH(1, INDEX((ISNUMBER(SEARCH($B143, FORECAST!$A$12:$A$475))) * (INT(FORECAST!$B$12:$B$475) &lt;= C$140) * (INT(FORECAST!$C$12:$C$475) &gt;= C$140), 0), 0)), "")</f>
        <v>Tentativo</v>
      </c>
      <c r="D143" s="36" t="str" cm="1">
        <f t="array" ref="D143">IFERROR(INDEX(FORECAST!$D$12:$D$475, MATCH(1, INDEX((ISNUMBER(SEARCH($B143, FORECAST!$A$12:$A$475))) * (INT(FORECAST!$B$12:$B$475) &lt;= D$140) * (INT(FORECAST!$C$12:$C$475) &gt;= D$140), 0), 0)), "")</f>
        <v/>
      </c>
      <c r="E143" s="36" t="str" cm="1">
        <f t="array" ref="E143">IFERROR(INDEX(FORECAST!$D$12:$D$475, MATCH(1, INDEX((ISNUMBER(SEARCH($B143, FORECAST!$A$12:$A$475))) * (INT(FORECAST!$B$12:$B$475) &lt;= E$140) * (INT(FORECAST!$C$12:$C$475) &gt;= E$140), 0), 0)), "")</f>
        <v/>
      </c>
      <c r="F143" s="36" t="str" cm="1">
        <f t="array" ref="F143">IFERROR(INDEX(FORECAST!$D$12:$D$475, MATCH(1, INDEX((ISNUMBER(SEARCH($B143, FORECAST!$A$12:$A$475))) * (INT(FORECAST!$B$12:$B$475) &lt;= F$140) * (INT(FORECAST!$C$12:$C$475) &gt;= F$140), 0), 0)), "")</f>
        <v/>
      </c>
      <c r="G143" s="36" t="str" cm="1">
        <f t="array" ref="G143">IFERROR(INDEX(FORECAST!$D$12:$D$475, MATCH(1, INDEX((ISNUMBER(SEARCH($B143, FORECAST!$A$12:$A$475))) * (INT(FORECAST!$B$12:$B$475) &lt;= G$140) * (INT(FORECAST!$C$12:$C$475) &gt;= G$140), 0), 0)), "")</f>
        <v/>
      </c>
      <c r="H143" s="36" t="str" cm="1">
        <f t="array" ref="H143">IFERROR(INDEX(FORECAST!$D$12:$D$475, MATCH(1, INDEX((ISNUMBER(SEARCH($B143, FORECAST!$A$12:$A$475))) * (INT(FORECAST!$B$12:$B$475) &lt;= H$140) * (INT(FORECAST!$C$12:$C$475) &gt;= H$140), 0), 0)), "")</f>
        <v/>
      </c>
      <c r="I143" s="36" t="str" cm="1">
        <f t="array" ref="I143">IFERROR(INDEX(FORECAST!$D$12:$D$475, MATCH(1, INDEX((ISNUMBER(SEARCH($B143, FORECAST!$A$12:$A$475))) * (INT(FORECAST!$B$12:$B$475) &lt;= I$140) * (INT(FORECAST!$C$12:$C$475) &gt;= I$140), 0), 0)), "")</f>
        <v/>
      </c>
      <c r="J143" s="36" t="str" cm="1">
        <f t="array" ref="J143">IFERROR(INDEX(FORECAST!$D$12:$D$475, MATCH(1, INDEX((ISNUMBER(SEARCH($B143, FORECAST!$A$12:$A$475))) * (INT(FORECAST!$B$12:$B$475) &lt;= J$140) * (INT(FORECAST!$C$12:$C$475) &gt;= J$140), 0), 0)), "")</f>
        <v/>
      </c>
      <c r="K143" s="36" t="str" cm="1">
        <f t="array" ref="K143">IFERROR(INDEX(FORECAST!$D$12:$D$475, MATCH(1, INDEX((ISNUMBER(SEARCH($B143, FORECAST!$A$12:$A$475))) * (INT(FORECAST!$B$12:$B$475) &lt;= K$140) * (INT(FORECAST!$C$12:$C$475) &gt;= K$140), 0), 0)), "")</f>
        <v/>
      </c>
      <c r="L143" s="36" t="str" cm="1">
        <f t="array" ref="L143">IFERROR(INDEX(FORECAST!$D$12:$D$475, MATCH(1, INDEX((ISNUMBER(SEARCH($B143, FORECAST!$A$12:$A$475))) * (INT(FORECAST!$B$12:$B$475) &lt;= L$140) * (INT(FORECAST!$C$12:$C$475) &gt;= L$140), 0), 0)), "")</f>
        <v/>
      </c>
      <c r="M143" s="36" t="str" cm="1">
        <f t="array" ref="M143">IFERROR(INDEX(FORECAST!$D$12:$D$475, MATCH(1, INDEX((ISNUMBER(SEARCH($B143, FORECAST!$A$12:$A$475))) * (INT(FORECAST!$B$12:$B$475) &lt;= M$140) * (INT(FORECAST!$C$12:$C$475) &gt;= M$140), 0), 0)), "")</f>
        <v/>
      </c>
      <c r="N143" s="36" t="str" cm="1">
        <f t="array" ref="N143">IFERROR(INDEX(FORECAST!$D$12:$D$475, MATCH(1, INDEX((ISNUMBER(SEARCH($B143, FORECAST!$A$12:$A$475))) * (INT(FORECAST!$B$12:$B$475) &lt;= N$140) * (INT(FORECAST!$C$12:$C$475) &gt;= N$140), 0), 0)), "")</f>
        <v/>
      </c>
      <c r="O143" s="36" t="str" cm="1">
        <f t="array" ref="O143">IFERROR(INDEX(FORECAST!$D$12:$D$475, MATCH(1, INDEX((ISNUMBER(SEARCH($B143, FORECAST!$A$12:$A$475))) * (INT(FORECAST!$B$12:$B$475) &lt;= O$140) * (INT(FORECAST!$C$12:$C$475) &gt;= O$140), 0), 0)), "")</f>
        <v/>
      </c>
      <c r="P143" s="36" t="str" cm="1">
        <f t="array" ref="P143">IFERROR(INDEX(FORECAST!$D$12:$D$475, MATCH(1, INDEX((ISNUMBER(SEARCH($B143, FORECAST!$A$12:$A$475))) * (INT(FORECAST!$B$12:$B$475) &lt;= P$140) * (INT(FORECAST!$C$12:$C$475) &gt;= P$140), 0), 0)), "")</f>
        <v/>
      </c>
      <c r="Q143" s="36" t="str" cm="1">
        <f t="array" ref="Q143">IFERROR(INDEX(FORECAST!$D$12:$D$475, MATCH(1, INDEX((ISNUMBER(SEARCH($B143, FORECAST!$A$12:$A$475))) * (INT(FORECAST!$B$12:$B$475) &lt;= Q$140) * (INT(FORECAST!$C$12:$C$475) &gt;= Q$140), 0), 0)), "")</f>
        <v/>
      </c>
      <c r="R143" s="36" t="str" cm="1">
        <f t="array" ref="R143">IFERROR(INDEX(FORECAST!$D$12:$D$475, MATCH(1, INDEX((ISNUMBER(SEARCH($B143, FORECAST!$A$12:$A$475))) * (INT(FORECAST!$B$12:$B$475) &lt;= R$140) * (INT(FORECAST!$C$12:$C$475) &gt;= R$140), 0), 0)), "")</f>
        <v/>
      </c>
      <c r="S143" s="36" t="str" cm="1">
        <f t="array" ref="S143">IFERROR(INDEX(FORECAST!$D$12:$D$475, MATCH(1, INDEX((ISNUMBER(SEARCH($B143, FORECAST!$A$12:$A$475))) * (INT(FORECAST!$B$12:$B$475) &lt;= S$140) * (INT(FORECAST!$C$12:$C$475) &gt;= S$140), 0), 0)), "")</f>
        <v/>
      </c>
      <c r="T143" s="36" t="str" cm="1">
        <f t="array" ref="T143">IFERROR(INDEX(FORECAST!$D$12:$D$475, MATCH(1, INDEX((ISNUMBER(SEARCH($B143, FORECAST!$A$12:$A$475))) * (INT(FORECAST!$B$12:$B$475) &lt;= T$140) * (INT(FORECAST!$C$12:$C$475) &gt;= T$140), 0), 0)), "")</f>
        <v/>
      </c>
      <c r="U143" s="36" t="str" cm="1">
        <f t="array" ref="U143">IFERROR(INDEX(FORECAST!$D$12:$D$475, MATCH(1, INDEX((ISNUMBER(SEARCH($B143, FORECAST!$A$12:$A$475))) * (INT(FORECAST!$B$12:$B$475) &lt;= U$140) * (INT(FORECAST!$C$12:$C$475) &gt;= U$140), 0), 0)), "")</f>
        <v/>
      </c>
      <c r="V143" s="36" t="str" cm="1">
        <f t="array" ref="V143">IFERROR(INDEX(FORECAST!$D$12:$D$475, MATCH(1, INDEX((ISNUMBER(SEARCH($B143, FORECAST!$A$12:$A$475))) * (INT(FORECAST!$B$12:$B$475) &lt;= V$140) * (INT(FORECAST!$C$12:$C$475) &gt;= V$140), 0), 0)), "")</f>
        <v/>
      </c>
      <c r="W143" s="36" t="str" cm="1">
        <f t="array" ref="W143">IFERROR(INDEX(FORECAST!$D$12:$D$475, MATCH(1, INDEX((ISNUMBER(SEARCH($B143, FORECAST!$A$12:$A$475))) * (INT(FORECAST!$B$12:$B$475) &lt;= W$140) * (INT(FORECAST!$C$12:$C$475) &gt;= W$140), 0), 0)), "")</f>
        <v/>
      </c>
      <c r="X143" s="36" t="str" cm="1">
        <f t="array" ref="X143">IFERROR(INDEX(FORECAST!$D$12:$D$475, MATCH(1, INDEX((ISNUMBER(SEARCH($B143, FORECAST!$A$12:$A$475))) * (INT(FORECAST!$B$12:$B$475) &lt;= X$140) * (INT(FORECAST!$C$12:$C$475) &gt;= X$140), 0), 0)), "")</f>
        <v/>
      </c>
      <c r="Y143" s="36" t="str" cm="1">
        <f t="array" ref="Y143">IFERROR(INDEX(FORECAST!$D$12:$D$475, MATCH(1, INDEX((ISNUMBER(SEARCH($B143, FORECAST!$A$12:$A$475))) * (INT(FORECAST!$B$12:$B$475) &lt;= Y$140) * (INT(FORECAST!$C$12:$C$475) &gt;= Y$140), 0), 0)), "")</f>
        <v/>
      </c>
      <c r="Z143" s="36" t="str" cm="1">
        <f t="array" ref="Z143">IFERROR(INDEX(FORECAST!$D$12:$D$475, MATCH(1, INDEX((ISNUMBER(SEARCH($B143, FORECAST!$A$12:$A$475))) * (INT(FORECAST!$B$12:$B$475) &lt;= Z$140) * (INT(FORECAST!$C$12:$C$475) &gt;= Z$140), 0), 0)), "")</f>
        <v/>
      </c>
      <c r="AA143" s="36" t="str" cm="1">
        <f t="array" ref="AA143">IFERROR(INDEX(FORECAST!$D$12:$D$475, MATCH(1, INDEX((ISNUMBER(SEARCH($B143, FORECAST!$A$12:$A$475))) * (INT(FORECAST!$B$12:$B$475) &lt;= AA$140) * (INT(FORECAST!$C$12:$C$475) &gt;= AA$140), 0), 0)), "")</f>
        <v/>
      </c>
      <c r="AB143" s="36" t="str" cm="1">
        <f t="array" ref="AB143">IFERROR(INDEX(FORECAST!$D$12:$D$475, MATCH(1, INDEX((ISNUMBER(SEARCH($B143, FORECAST!$A$12:$A$475))) * (INT(FORECAST!$B$12:$B$475) &lt;= AB$140) * (INT(FORECAST!$C$12:$C$475) &gt;= AB$140), 0), 0)), "")</f>
        <v/>
      </c>
      <c r="AC143" s="36" t="str" cm="1">
        <f t="array" ref="AC143">IFERROR(INDEX(FORECAST!$D$12:$D$475, MATCH(1, INDEX((ISNUMBER(SEARCH($B143, FORECAST!$A$12:$A$475))) * (INT(FORECAST!$B$12:$B$475) &lt;= AC$140) * (INT(FORECAST!$C$12:$C$475) &gt;= AC$140), 0), 0)), "")</f>
        <v/>
      </c>
      <c r="AD143" s="36" t="str" cm="1">
        <f t="array" ref="AD143">IFERROR(INDEX(FORECAST!$D$12:$D$475, MATCH(1, INDEX((ISNUMBER(SEARCH($B143, FORECAST!$A$12:$A$475))) * (INT(FORECAST!$B$12:$B$475) &lt;= AD$140) * (INT(FORECAST!$C$12:$C$475) &gt;= AD$140), 0), 0)), "")</f>
        <v/>
      </c>
      <c r="AE143" s="36" t="str" cm="1">
        <f t="array" ref="AE143">IFERROR(INDEX(FORECAST!$D$12:$D$475, MATCH(1, INDEX((ISNUMBER(SEARCH($B143, FORECAST!$A$12:$A$475))) * (INT(FORECAST!$B$12:$B$475) &lt;= AE$140) * (INT(FORECAST!$C$12:$C$475) &gt;= AE$140), 0), 0)), "")</f>
        <v/>
      </c>
      <c r="AF143" s="36" t="str" cm="1">
        <f t="array" ref="AF143">IFERROR(INDEX(FORECAST!$D$12:$D$475, MATCH(1, INDEX((ISNUMBER(SEARCH($B143, FORECAST!$A$12:$A$475))) * (INT(FORECAST!$B$12:$B$475) &lt;= AF$140) * (INT(FORECAST!$C$12:$C$475) &gt;= AF$140), 0), 0)), "")</f>
        <v/>
      </c>
      <c r="AG143" s="36" t="str" cm="1">
        <f t="array" ref="AG143">IFERROR(INDEX(FORECAST!$D$12:$D$475, MATCH(1, INDEX((ISNUMBER(SEARCH($B143, FORECAST!$A$12:$A$475))) * (INT(FORECAST!$B$12:$B$475) &lt;= AG$140) * (INT(FORECAST!$C$12:$C$475) &gt;= AG$140), 0), 0)), "")</f>
        <v/>
      </c>
      <c r="AH143" s="2"/>
      <c r="AJ143" s="45">
        <f t="shared" si="11"/>
        <v>0</v>
      </c>
      <c r="AL143" s="30" t="s">
        <v>520</v>
      </c>
    </row>
    <row r="144" spans="1:38" x14ac:dyDescent="0.25">
      <c r="A144" s="69"/>
      <c r="B144" s="25" t="s">
        <v>521</v>
      </c>
      <c r="C144" s="36" t="str" cm="1">
        <f t="array" ref="C144">IFERROR(INDEX(FORECAST!$D$12:$D$475, MATCH(1, INDEX((ISNUMBER(SEARCH($B144, FORECAST!$A$12:$A$475))) * (INT(FORECAST!$B$12:$B$475) &lt;= C$140) * (INT(FORECAST!$C$12:$C$475) &gt;= C$140), 0), 0)), "")</f>
        <v>Tentativo</v>
      </c>
      <c r="D144" s="36" t="str" cm="1">
        <f t="array" ref="D144">IFERROR(INDEX(FORECAST!$D$12:$D$475, MATCH(1, INDEX((ISNUMBER(SEARCH($B144, FORECAST!$A$12:$A$475))) * (INT(FORECAST!$B$12:$B$475) &lt;= D$140) * (INT(FORECAST!$C$12:$C$475) &gt;= D$140), 0), 0)), "")</f>
        <v/>
      </c>
      <c r="E144" s="36" t="str" cm="1">
        <f t="array" ref="E144">IFERROR(INDEX(FORECAST!$D$12:$D$475, MATCH(1, INDEX((ISNUMBER(SEARCH($B144, FORECAST!$A$12:$A$475))) * (INT(FORECAST!$B$12:$B$475) &lt;= E$140) * (INT(FORECAST!$C$12:$C$475) &gt;= E$140), 0), 0)), "")</f>
        <v/>
      </c>
      <c r="F144" s="36" t="str" cm="1">
        <f t="array" ref="F144">IFERROR(INDEX(FORECAST!$D$12:$D$475, MATCH(1, INDEX((ISNUMBER(SEARCH($B144, FORECAST!$A$12:$A$475))) * (INT(FORECAST!$B$12:$B$475) &lt;= F$140) * (INT(FORECAST!$C$12:$C$475) &gt;= F$140), 0), 0)), "")</f>
        <v/>
      </c>
      <c r="G144" s="36" t="str" cm="1">
        <f t="array" ref="G144">IFERROR(INDEX(FORECAST!$D$12:$D$475, MATCH(1, INDEX((ISNUMBER(SEARCH($B144, FORECAST!$A$12:$A$475))) * (INT(FORECAST!$B$12:$B$475) &lt;= G$140) * (INT(FORECAST!$C$12:$C$475) &gt;= G$140), 0), 0)), "")</f>
        <v/>
      </c>
      <c r="H144" s="36" t="str" cm="1">
        <f t="array" ref="H144">IFERROR(INDEX(FORECAST!$D$12:$D$475, MATCH(1, INDEX((ISNUMBER(SEARCH($B144, FORECAST!$A$12:$A$475))) * (INT(FORECAST!$B$12:$B$475) &lt;= H$140) * (INT(FORECAST!$C$12:$C$475) &gt;= H$140), 0), 0)), "")</f>
        <v/>
      </c>
      <c r="I144" s="36" t="str" cm="1">
        <f t="array" ref="I144">IFERROR(INDEX(FORECAST!$D$12:$D$475, MATCH(1, INDEX((ISNUMBER(SEARCH($B144, FORECAST!$A$12:$A$475))) * (INT(FORECAST!$B$12:$B$475) &lt;= I$140) * (INT(FORECAST!$C$12:$C$475) &gt;= I$140), 0), 0)), "")</f>
        <v/>
      </c>
      <c r="J144" s="36" t="str" cm="1">
        <f t="array" ref="J144">IFERROR(INDEX(FORECAST!$D$12:$D$475, MATCH(1, INDEX((ISNUMBER(SEARCH($B144, FORECAST!$A$12:$A$475))) * (INT(FORECAST!$B$12:$B$475) &lt;= J$140) * (INT(FORECAST!$C$12:$C$475) &gt;= J$140), 0), 0)), "")</f>
        <v/>
      </c>
      <c r="K144" s="36" t="str" cm="1">
        <f t="array" ref="K144">IFERROR(INDEX(FORECAST!$D$12:$D$475, MATCH(1, INDEX((ISNUMBER(SEARCH($B144, FORECAST!$A$12:$A$475))) * (INT(FORECAST!$B$12:$B$475) &lt;= K$140) * (INT(FORECAST!$C$12:$C$475) &gt;= K$140), 0), 0)), "")</f>
        <v/>
      </c>
      <c r="L144" s="36" t="str" cm="1">
        <f t="array" ref="L144">IFERROR(INDEX(FORECAST!$D$12:$D$475, MATCH(1, INDEX((ISNUMBER(SEARCH($B144, FORECAST!$A$12:$A$475))) * (INT(FORECAST!$B$12:$B$475) &lt;= L$140) * (INT(FORECAST!$C$12:$C$475) &gt;= L$140), 0), 0)), "")</f>
        <v/>
      </c>
      <c r="M144" s="36" t="str" cm="1">
        <f t="array" ref="M144">IFERROR(INDEX(FORECAST!$D$12:$D$475, MATCH(1, INDEX((ISNUMBER(SEARCH($B144, FORECAST!$A$12:$A$475))) * (INT(FORECAST!$B$12:$B$475) &lt;= M$140) * (INT(FORECAST!$C$12:$C$475) &gt;= M$140), 0), 0)), "")</f>
        <v/>
      </c>
      <c r="N144" s="36" t="str" cm="1">
        <f t="array" ref="N144">IFERROR(INDEX(FORECAST!$D$12:$D$475, MATCH(1, INDEX((ISNUMBER(SEARCH($B144, FORECAST!$A$12:$A$475))) * (INT(FORECAST!$B$12:$B$475) &lt;= N$140) * (INT(FORECAST!$C$12:$C$475) &gt;= N$140), 0), 0)), "")</f>
        <v/>
      </c>
      <c r="O144" s="36" t="str" cm="1">
        <f t="array" ref="O144">IFERROR(INDEX(FORECAST!$D$12:$D$475, MATCH(1, INDEX((ISNUMBER(SEARCH($B144, FORECAST!$A$12:$A$475))) * (INT(FORECAST!$B$12:$B$475) &lt;= O$140) * (INT(FORECAST!$C$12:$C$475) &gt;= O$140), 0), 0)), "")</f>
        <v/>
      </c>
      <c r="P144" s="36" t="str" cm="1">
        <f t="array" ref="P144">IFERROR(INDEX(FORECAST!$D$12:$D$475, MATCH(1, INDEX((ISNUMBER(SEARCH($B144, FORECAST!$A$12:$A$475))) * (INT(FORECAST!$B$12:$B$475) &lt;= P$140) * (INT(FORECAST!$C$12:$C$475) &gt;= P$140), 0), 0)), "")</f>
        <v/>
      </c>
      <c r="Q144" s="36" t="str" cm="1">
        <f t="array" ref="Q144">IFERROR(INDEX(FORECAST!$D$12:$D$475, MATCH(1, INDEX((ISNUMBER(SEARCH($B144, FORECAST!$A$12:$A$475))) * (INT(FORECAST!$B$12:$B$475) &lt;= Q$140) * (INT(FORECAST!$C$12:$C$475) &gt;= Q$140), 0), 0)), "")</f>
        <v/>
      </c>
      <c r="R144" s="36" t="str" cm="1">
        <f t="array" ref="R144">IFERROR(INDEX(FORECAST!$D$12:$D$475, MATCH(1, INDEX((ISNUMBER(SEARCH($B144, FORECAST!$A$12:$A$475))) * (INT(FORECAST!$B$12:$B$475) &lt;= R$140) * (INT(FORECAST!$C$12:$C$475) &gt;= R$140), 0), 0)), "")</f>
        <v/>
      </c>
      <c r="S144" s="36" t="str" cm="1">
        <f t="array" ref="S144">IFERROR(INDEX(FORECAST!$D$12:$D$475, MATCH(1, INDEX((ISNUMBER(SEARCH($B144, FORECAST!$A$12:$A$475))) * (INT(FORECAST!$B$12:$B$475) &lt;= S$140) * (INT(FORECAST!$C$12:$C$475) &gt;= S$140), 0), 0)), "")</f>
        <v/>
      </c>
      <c r="T144" s="36" t="str" cm="1">
        <f t="array" ref="T144">IFERROR(INDEX(FORECAST!$D$12:$D$475, MATCH(1, INDEX((ISNUMBER(SEARCH($B144, FORECAST!$A$12:$A$475))) * (INT(FORECAST!$B$12:$B$475) &lt;= T$140) * (INT(FORECAST!$C$12:$C$475) &gt;= T$140), 0), 0)), "")</f>
        <v/>
      </c>
      <c r="U144" s="36" t="str" cm="1">
        <f t="array" ref="U144">IFERROR(INDEX(FORECAST!$D$12:$D$475, MATCH(1, INDEX((ISNUMBER(SEARCH($B144, FORECAST!$A$12:$A$475))) * (INT(FORECAST!$B$12:$B$475) &lt;= U$140) * (INT(FORECAST!$C$12:$C$475) &gt;= U$140), 0), 0)), "")</f>
        <v/>
      </c>
      <c r="V144" s="36" t="str" cm="1">
        <f t="array" ref="V144">IFERROR(INDEX(FORECAST!$D$12:$D$475, MATCH(1, INDEX((ISNUMBER(SEARCH($B144, FORECAST!$A$12:$A$475))) * (INT(FORECAST!$B$12:$B$475) &lt;= V$140) * (INT(FORECAST!$C$12:$C$475) &gt;= V$140), 0), 0)), "")</f>
        <v/>
      </c>
      <c r="W144" s="36" t="str" cm="1">
        <f t="array" ref="W144">IFERROR(INDEX(FORECAST!$D$12:$D$475, MATCH(1, INDEX((ISNUMBER(SEARCH($B144, FORECAST!$A$12:$A$475))) * (INT(FORECAST!$B$12:$B$475) &lt;= W$140) * (INT(FORECAST!$C$12:$C$475) &gt;= W$140), 0), 0)), "")</f>
        <v/>
      </c>
      <c r="X144" s="36" t="str" cm="1">
        <f t="array" ref="X144">IFERROR(INDEX(FORECAST!$D$12:$D$475, MATCH(1, INDEX((ISNUMBER(SEARCH($B144, FORECAST!$A$12:$A$475))) * (INT(FORECAST!$B$12:$B$475) &lt;= X$140) * (INT(FORECAST!$C$12:$C$475) &gt;= X$140), 0), 0)), "")</f>
        <v/>
      </c>
      <c r="Y144" s="36" t="str" cm="1">
        <f t="array" ref="Y144">IFERROR(INDEX(FORECAST!$D$12:$D$475, MATCH(1, INDEX((ISNUMBER(SEARCH($B144, FORECAST!$A$12:$A$475))) * (INT(FORECAST!$B$12:$B$475) &lt;= Y$140) * (INT(FORECAST!$C$12:$C$475) &gt;= Y$140), 0), 0)), "")</f>
        <v/>
      </c>
      <c r="Z144" s="36" t="str" cm="1">
        <f t="array" ref="Z144">IFERROR(INDEX(FORECAST!$D$12:$D$475, MATCH(1, INDEX((ISNUMBER(SEARCH($B144, FORECAST!$A$12:$A$475))) * (INT(FORECAST!$B$12:$B$475) &lt;= Z$140) * (INT(FORECAST!$C$12:$C$475) &gt;= Z$140), 0), 0)), "")</f>
        <v/>
      </c>
      <c r="AA144" s="36" t="str" cm="1">
        <f t="array" ref="AA144">IFERROR(INDEX(FORECAST!$D$12:$D$475, MATCH(1, INDEX((ISNUMBER(SEARCH($B144, FORECAST!$A$12:$A$475))) * (INT(FORECAST!$B$12:$B$475) &lt;= AA$140) * (INT(FORECAST!$C$12:$C$475) &gt;= AA$140), 0), 0)), "")</f>
        <v/>
      </c>
      <c r="AB144" s="36" t="str" cm="1">
        <f t="array" ref="AB144">IFERROR(INDEX(FORECAST!$D$12:$D$475, MATCH(1, INDEX((ISNUMBER(SEARCH($B144, FORECAST!$A$12:$A$475))) * (INT(FORECAST!$B$12:$B$475) &lt;= AB$140) * (INT(FORECAST!$C$12:$C$475) &gt;= AB$140), 0), 0)), "")</f>
        <v/>
      </c>
      <c r="AC144" s="36" t="str" cm="1">
        <f t="array" ref="AC144">IFERROR(INDEX(FORECAST!$D$12:$D$475, MATCH(1, INDEX((ISNUMBER(SEARCH($B144, FORECAST!$A$12:$A$475))) * (INT(FORECAST!$B$12:$B$475) &lt;= AC$140) * (INT(FORECAST!$C$12:$C$475) &gt;= AC$140), 0), 0)), "")</f>
        <v/>
      </c>
      <c r="AD144" s="36" t="str" cm="1">
        <f t="array" ref="AD144">IFERROR(INDEX(FORECAST!$D$12:$D$475, MATCH(1, INDEX((ISNUMBER(SEARCH($B144, FORECAST!$A$12:$A$475))) * (INT(FORECAST!$B$12:$B$475) &lt;= AD$140) * (INT(FORECAST!$C$12:$C$475) &gt;= AD$140), 0), 0)), "")</f>
        <v/>
      </c>
      <c r="AE144" s="36" t="str" cm="1">
        <f t="array" ref="AE144">IFERROR(INDEX(FORECAST!$D$12:$D$475, MATCH(1, INDEX((ISNUMBER(SEARCH($B144, FORECAST!$A$12:$A$475))) * (INT(FORECAST!$B$12:$B$475) &lt;= AE$140) * (INT(FORECAST!$C$12:$C$475) &gt;= AE$140), 0), 0)), "")</f>
        <v/>
      </c>
      <c r="AF144" s="36" t="str" cm="1">
        <f t="array" ref="AF144">IFERROR(INDEX(FORECAST!$D$12:$D$475, MATCH(1, INDEX((ISNUMBER(SEARCH($B144, FORECAST!$A$12:$A$475))) * (INT(FORECAST!$B$12:$B$475) &lt;= AF$140) * (INT(FORECAST!$C$12:$C$475) &gt;= AF$140), 0), 0)), "")</f>
        <v/>
      </c>
      <c r="AG144" s="36" t="str" cm="1">
        <f t="array" ref="AG144">IFERROR(INDEX(FORECAST!$D$12:$D$475, MATCH(1, INDEX((ISNUMBER(SEARCH($B144, FORECAST!$A$12:$A$475))) * (INT(FORECAST!$B$12:$B$475) &lt;= AG$140) * (INT(FORECAST!$C$12:$C$475) &gt;= AG$140), 0), 0)), "")</f>
        <v/>
      </c>
      <c r="AH144" s="2"/>
      <c r="AJ144" s="45">
        <f t="shared" si="11"/>
        <v>0</v>
      </c>
      <c r="AL144" s="45">
        <f>COUNTIF('PLANNING 2026'!C141:AF147,"Garantizado")/COUNTA('PLANNING 2026'!C141:AF147)</f>
        <v>9.5238095238095247E-3</v>
      </c>
    </row>
    <row r="145" spans="1:36" x14ac:dyDescent="0.25">
      <c r="A145" s="69"/>
      <c r="B145" s="25" t="s">
        <v>522</v>
      </c>
      <c r="C145" s="36" t="str" cm="1">
        <f t="array" ref="C145">IFERROR(INDEX(FORECAST!$D$12:$D$475, MATCH(1, INDEX((ISNUMBER(SEARCH($B145, FORECAST!$A$12:$A$475))) * (INT(FORECAST!$B$12:$B$475) &lt;= C$140) * (INT(FORECAST!$C$12:$C$475) &gt;= C$140), 0), 0)), "")</f>
        <v>Tentativo</v>
      </c>
      <c r="D145" s="36" t="str" cm="1">
        <f t="array" ref="D145">IFERROR(INDEX(FORECAST!$D$12:$D$475, MATCH(1, INDEX((ISNUMBER(SEARCH($B145, FORECAST!$A$12:$A$475))) * (INT(FORECAST!$B$12:$B$475) &lt;= D$140) * (INT(FORECAST!$C$12:$C$475) &gt;= D$140), 0), 0)), "")</f>
        <v/>
      </c>
      <c r="E145" s="36" t="str" cm="1">
        <f t="array" ref="E145">IFERROR(INDEX(FORECAST!$D$12:$D$475, MATCH(1, INDEX((ISNUMBER(SEARCH($B145, FORECAST!$A$12:$A$475))) * (INT(FORECAST!$B$12:$B$475) &lt;= E$140) * (INT(FORECAST!$C$12:$C$475) &gt;= E$140), 0), 0)), "")</f>
        <v/>
      </c>
      <c r="F145" s="36" t="str" cm="1">
        <f t="array" ref="F145">IFERROR(INDEX(FORECAST!$D$12:$D$475, MATCH(1, INDEX((ISNUMBER(SEARCH($B145, FORECAST!$A$12:$A$475))) * (INT(FORECAST!$B$12:$B$475) &lt;= F$140) * (INT(FORECAST!$C$12:$C$475) &gt;= F$140), 0), 0)), "")</f>
        <v/>
      </c>
      <c r="G145" s="36" t="str" cm="1">
        <f t="array" ref="G145">IFERROR(INDEX(FORECAST!$D$12:$D$475, MATCH(1, INDEX((ISNUMBER(SEARCH($B145, FORECAST!$A$12:$A$475))) * (INT(FORECAST!$B$12:$B$475) &lt;= G$140) * (INT(FORECAST!$C$12:$C$475) &gt;= G$140), 0), 0)), "")</f>
        <v/>
      </c>
      <c r="H145" s="36" t="str" cm="1">
        <f t="array" ref="H145">IFERROR(INDEX(FORECAST!$D$12:$D$475, MATCH(1, INDEX((ISNUMBER(SEARCH($B145, FORECAST!$A$12:$A$475))) * (INT(FORECAST!$B$12:$B$475) &lt;= H$140) * (INT(FORECAST!$C$12:$C$475) &gt;= H$140), 0), 0)), "")</f>
        <v/>
      </c>
      <c r="I145" s="36" t="str" cm="1">
        <f t="array" ref="I145">IFERROR(INDEX(FORECAST!$D$12:$D$475, MATCH(1, INDEX((ISNUMBER(SEARCH($B145, FORECAST!$A$12:$A$475))) * (INT(FORECAST!$B$12:$B$475) &lt;= I$140) * (INT(FORECAST!$C$12:$C$475) &gt;= I$140), 0), 0)), "")</f>
        <v/>
      </c>
      <c r="J145" s="36" t="str" cm="1">
        <f t="array" ref="J145">IFERROR(INDEX(FORECAST!$D$12:$D$475, MATCH(1, INDEX((ISNUMBER(SEARCH($B145, FORECAST!$A$12:$A$475))) * (INT(FORECAST!$B$12:$B$475) &lt;= J$140) * (INT(FORECAST!$C$12:$C$475) &gt;= J$140), 0), 0)), "")</f>
        <v/>
      </c>
      <c r="K145" s="36" t="str" cm="1">
        <f t="array" ref="K145">IFERROR(INDEX(FORECAST!$D$12:$D$475, MATCH(1, INDEX((ISNUMBER(SEARCH($B145, FORECAST!$A$12:$A$475))) * (INT(FORECAST!$B$12:$B$475) &lt;= K$140) * (INT(FORECAST!$C$12:$C$475) &gt;= K$140), 0), 0)), "")</f>
        <v/>
      </c>
      <c r="L145" s="36" t="str" cm="1">
        <f t="array" ref="L145">IFERROR(INDEX(FORECAST!$D$12:$D$475, MATCH(1, INDEX((ISNUMBER(SEARCH($B145, FORECAST!$A$12:$A$475))) * (INT(FORECAST!$B$12:$B$475) &lt;= L$140) * (INT(FORECAST!$C$12:$C$475) &gt;= L$140), 0), 0)), "")</f>
        <v/>
      </c>
      <c r="M145" s="36" t="str" cm="1">
        <f t="array" ref="M145">IFERROR(INDEX(FORECAST!$D$12:$D$475, MATCH(1, INDEX((ISNUMBER(SEARCH($B145, FORECAST!$A$12:$A$475))) * (INT(FORECAST!$B$12:$B$475) &lt;= M$140) * (INT(FORECAST!$C$12:$C$475) &gt;= M$140), 0), 0)), "")</f>
        <v/>
      </c>
      <c r="N145" s="36" t="str" cm="1">
        <f t="array" ref="N145">IFERROR(INDEX(FORECAST!$D$12:$D$475, MATCH(1, INDEX((ISNUMBER(SEARCH($B145, FORECAST!$A$12:$A$475))) * (INT(FORECAST!$B$12:$B$475) &lt;= N$140) * (INT(FORECAST!$C$12:$C$475) &gt;= N$140), 0), 0)), "")</f>
        <v/>
      </c>
      <c r="O145" s="36" t="str" cm="1">
        <f t="array" ref="O145">IFERROR(INDEX(FORECAST!$D$12:$D$475, MATCH(1, INDEX((ISNUMBER(SEARCH($B145, FORECAST!$A$12:$A$475))) * (INT(FORECAST!$B$12:$B$475) &lt;= O$140) * (INT(FORECAST!$C$12:$C$475) &gt;= O$140), 0), 0)), "")</f>
        <v/>
      </c>
      <c r="P145" s="36" t="str" cm="1">
        <f t="array" ref="P145">IFERROR(INDEX(FORECAST!$D$12:$D$475, MATCH(1, INDEX((ISNUMBER(SEARCH($B145, FORECAST!$A$12:$A$475))) * (INT(FORECAST!$B$12:$B$475) &lt;= P$140) * (INT(FORECAST!$C$12:$C$475) &gt;= P$140), 0), 0)), "")</f>
        <v/>
      </c>
      <c r="Q145" s="36" t="str" cm="1">
        <f t="array" ref="Q145">IFERROR(INDEX(FORECAST!$D$12:$D$475, MATCH(1, INDEX((ISNUMBER(SEARCH($B145, FORECAST!$A$12:$A$475))) * (INT(FORECAST!$B$12:$B$475) &lt;= Q$140) * (INT(FORECAST!$C$12:$C$475) &gt;= Q$140), 0), 0)), "")</f>
        <v/>
      </c>
      <c r="R145" s="36" t="str" cm="1">
        <f t="array" ref="R145">IFERROR(INDEX(FORECAST!$D$12:$D$475, MATCH(1, INDEX((ISNUMBER(SEARCH($B145, FORECAST!$A$12:$A$475))) * (INT(FORECAST!$B$12:$B$475) &lt;= R$140) * (INT(FORECAST!$C$12:$C$475) &gt;= R$140), 0), 0)), "")</f>
        <v/>
      </c>
      <c r="S145" s="36" t="str" cm="1">
        <f t="array" ref="S145">IFERROR(INDEX(FORECAST!$D$12:$D$475, MATCH(1, INDEX((ISNUMBER(SEARCH($B145, FORECAST!$A$12:$A$475))) * (INT(FORECAST!$B$12:$B$475) &lt;= S$140) * (INT(FORECAST!$C$12:$C$475) &gt;= S$140), 0), 0)), "")</f>
        <v/>
      </c>
      <c r="T145" s="36" t="str" cm="1">
        <f t="array" ref="T145">IFERROR(INDEX(FORECAST!$D$12:$D$475, MATCH(1, INDEX((ISNUMBER(SEARCH($B145, FORECAST!$A$12:$A$475))) * (INT(FORECAST!$B$12:$B$475) &lt;= T$140) * (INT(FORECAST!$C$12:$C$475) &gt;= T$140), 0), 0)), "")</f>
        <v/>
      </c>
      <c r="U145" s="36" t="str" cm="1">
        <f t="array" ref="U145">IFERROR(INDEX(FORECAST!$D$12:$D$475, MATCH(1, INDEX((ISNUMBER(SEARCH($B145, FORECAST!$A$12:$A$475))) * (INT(FORECAST!$B$12:$B$475) &lt;= U$140) * (INT(FORECAST!$C$12:$C$475) &gt;= U$140), 0), 0)), "")</f>
        <v/>
      </c>
      <c r="V145" s="36" t="str" cm="1">
        <f t="array" ref="V145">IFERROR(INDEX(FORECAST!$D$12:$D$475, MATCH(1, INDEX((ISNUMBER(SEARCH($B145, FORECAST!$A$12:$A$475))) * (INT(FORECAST!$B$12:$B$475) &lt;= V$140) * (INT(FORECAST!$C$12:$C$475) &gt;= V$140), 0), 0)), "")</f>
        <v/>
      </c>
      <c r="W145" s="36" t="str" cm="1">
        <f t="array" ref="W145">IFERROR(INDEX(FORECAST!$D$12:$D$475, MATCH(1, INDEX((ISNUMBER(SEARCH($B145, FORECAST!$A$12:$A$475))) * (INT(FORECAST!$B$12:$B$475) &lt;= W$140) * (INT(FORECAST!$C$12:$C$475) &gt;= W$140), 0), 0)), "")</f>
        <v/>
      </c>
      <c r="X145" s="36" t="str" cm="1">
        <f t="array" ref="X145">IFERROR(INDEX(FORECAST!$D$12:$D$475, MATCH(1, INDEX((ISNUMBER(SEARCH($B145, FORECAST!$A$12:$A$475))) * (INT(FORECAST!$B$12:$B$475) &lt;= X$140) * (INT(FORECAST!$C$12:$C$475) &gt;= X$140), 0), 0)), "")</f>
        <v/>
      </c>
      <c r="Y145" s="36" t="str" cm="1">
        <f t="array" ref="Y145">IFERROR(INDEX(FORECAST!$D$12:$D$475, MATCH(1, INDEX((ISNUMBER(SEARCH($B145, FORECAST!$A$12:$A$475))) * (INT(FORECAST!$B$12:$B$475) &lt;= Y$140) * (INT(FORECAST!$C$12:$C$475) &gt;= Y$140), 0), 0)), "")</f>
        <v/>
      </c>
      <c r="Z145" s="36" t="str" cm="1">
        <f t="array" ref="Z145">IFERROR(INDEX(FORECAST!$D$12:$D$475, MATCH(1, INDEX((ISNUMBER(SEARCH($B145, FORECAST!$A$12:$A$475))) * (INT(FORECAST!$B$12:$B$475) &lt;= Z$140) * (INT(FORECAST!$C$12:$C$475) &gt;= Z$140), 0), 0)), "")</f>
        <v/>
      </c>
      <c r="AA145" s="36" t="str" cm="1">
        <f t="array" ref="AA145">IFERROR(INDEX(FORECAST!$D$12:$D$475, MATCH(1, INDEX((ISNUMBER(SEARCH($B145, FORECAST!$A$12:$A$475))) * (INT(FORECAST!$B$12:$B$475) &lt;= AA$140) * (INT(FORECAST!$C$12:$C$475) &gt;= AA$140), 0), 0)), "")</f>
        <v/>
      </c>
      <c r="AB145" s="36" t="str" cm="1">
        <f t="array" ref="AB145">IFERROR(INDEX(FORECAST!$D$12:$D$475, MATCH(1, INDEX((ISNUMBER(SEARCH($B145, FORECAST!$A$12:$A$475))) * (INT(FORECAST!$B$12:$B$475) &lt;= AB$140) * (INT(FORECAST!$C$12:$C$475) &gt;= AB$140), 0), 0)), "")</f>
        <v/>
      </c>
      <c r="AC145" s="36" t="str" cm="1">
        <f t="array" ref="AC145">IFERROR(INDEX(FORECAST!$D$12:$D$475, MATCH(1, INDEX((ISNUMBER(SEARCH($B145, FORECAST!$A$12:$A$475))) * (INT(FORECAST!$B$12:$B$475) &lt;= AC$140) * (INT(FORECAST!$C$12:$C$475) &gt;= AC$140), 0), 0)), "")</f>
        <v/>
      </c>
      <c r="AD145" s="36" t="str" cm="1">
        <f t="array" ref="AD145">IFERROR(INDEX(FORECAST!$D$12:$D$475, MATCH(1, INDEX((ISNUMBER(SEARCH($B145, FORECAST!$A$12:$A$475))) * (INT(FORECAST!$B$12:$B$475) &lt;= AD$140) * (INT(FORECAST!$C$12:$C$475) &gt;= AD$140), 0), 0)), "")</f>
        <v/>
      </c>
      <c r="AE145" s="36" t="str" cm="1">
        <f t="array" ref="AE145">IFERROR(INDEX(FORECAST!$D$12:$D$475, MATCH(1, INDEX((ISNUMBER(SEARCH($B145, FORECAST!$A$12:$A$475))) * (INT(FORECAST!$B$12:$B$475) &lt;= AE$140) * (INT(FORECAST!$C$12:$C$475) &gt;= AE$140), 0), 0)), "")</f>
        <v/>
      </c>
      <c r="AF145" s="36" t="str" cm="1">
        <f t="array" ref="AF145">IFERROR(INDEX(FORECAST!$D$12:$D$475, MATCH(1, INDEX((ISNUMBER(SEARCH($B145, FORECAST!$A$12:$A$475))) * (INT(FORECAST!$B$12:$B$475) &lt;= AF$140) * (INT(FORECAST!$C$12:$C$475) &gt;= AF$140), 0), 0)), "")</f>
        <v/>
      </c>
      <c r="AG145" s="36" t="str" cm="1">
        <f t="array" ref="AG145">IFERROR(INDEX(FORECAST!$D$12:$D$475, MATCH(1, INDEX((ISNUMBER(SEARCH($B145, FORECAST!$A$12:$A$475))) * (INT(FORECAST!$B$12:$B$475) &lt;= AG$140) * (INT(FORECAST!$C$12:$C$475) &gt;= AG$140), 0), 0)), "")</f>
        <v/>
      </c>
      <c r="AH145" s="2"/>
      <c r="AJ145" s="45">
        <f t="shared" si="11"/>
        <v>0</v>
      </c>
    </row>
    <row r="146" spans="1:36" x14ac:dyDescent="0.25">
      <c r="A146" s="69"/>
      <c r="B146" s="25" t="s">
        <v>523</v>
      </c>
      <c r="C146" s="36" t="str" cm="1">
        <f t="array" ref="C146">IFERROR(INDEX(FORECAST!$D$12:$D$475, MATCH(1, INDEX((ISNUMBER(SEARCH($B146, FORECAST!$A$12:$A$475))) * (INT(FORECAST!$B$12:$B$475) &lt;= C$140) * (INT(FORECAST!$C$12:$C$475) &gt;= C$140), 0), 0)), "")</f>
        <v>Tentativo</v>
      </c>
      <c r="D146" s="36" t="str" cm="1">
        <f t="array" ref="D146">IFERROR(INDEX(FORECAST!$D$12:$D$475, MATCH(1, INDEX((ISNUMBER(SEARCH($B146, FORECAST!$A$12:$A$475))) * (INT(FORECAST!$B$12:$B$475) &lt;= D$140) * (INT(FORECAST!$C$12:$C$475) &gt;= D$140), 0), 0)), "")</f>
        <v/>
      </c>
      <c r="E146" s="36" t="str" cm="1">
        <f t="array" ref="E146">IFERROR(INDEX(FORECAST!$D$12:$D$475, MATCH(1, INDEX((ISNUMBER(SEARCH($B146, FORECAST!$A$12:$A$475))) * (INT(FORECAST!$B$12:$B$475) &lt;= E$140) * (INT(FORECAST!$C$12:$C$475) &gt;= E$140), 0), 0)), "")</f>
        <v/>
      </c>
      <c r="F146" s="36" t="str" cm="1">
        <f t="array" ref="F146">IFERROR(INDEX(FORECAST!$D$12:$D$475, MATCH(1, INDEX((ISNUMBER(SEARCH($B146, FORECAST!$A$12:$A$475))) * (INT(FORECAST!$B$12:$B$475) &lt;= F$140) * (INT(FORECAST!$C$12:$C$475) &gt;= F$140), 0), 0)), "")</f>
        <v/>
      </c>
      <c r="G146" s="36" t="str" cm="1">
        <f t="array" ref="G146">IFERROR(INDEX(FORECAST!$D$12:$D$475, MATCH(1, INDEX((ISNUMBER(SEARCH($B146, FORECAST!$A$12:$A$475))) * (INT(FORECAST!$B$12:$B$475) &lt;= G$140) * (INT(FORECAST!$C$12:$C$475) &gt;= G$140), 0), 0)), "")</f>
        <v/>
      </c>
      <c r="H146" s="36" t="str" cm="1">
        <f t="array" ref="H146">IFERROR(INDEX(FORECAST!$D$12:$D$475, MATCH(1, INDEX((ISNUMBER(SEARCH($B146, FORECAST!$A$12:$A$475))) * (INT(FORECAST!$B$12:$B$475) &lt;= H$140) * (INT(FORECAST!$C$12:$C$475) &gt;= H$140), 0), 0)), "")</f>
        <v/>
      </c>
      <c r="I146" s="36" t="str" cm="1">
        <f t="array" ref="I146">IFERROR(INDEX(FORECAST!$D$12:$D$475, MATCH(1, INDEX((ISNUMBER(SEARCH($B146, FORECAST!$A$12:$A$475))) * (INT(FORECAST!$B$12:$B$475) &lt;= I$140) * (INT(FORECAST!$C$12:$C$475) &gt;= I$140), 0), 0)), "")</f>
        <v/>
      </c>
      <c r="J146" s="36" t="str" cm="1">
        <f t="array" ref="J146">IFERROR(INDEX(FORECAST!$D$12:$D$475, MATCH(1, INDEX((ISNUMBER(SEARCH($B146, FORECAST!$A$12:$A$475))) * (INT(FORECAST!$B$12:$B$475) &lt;= J$140) * (INT(FORECAST!$C$12:$C$475) &gt;= J$140), 0), 0)), "")</f>
        <v/>
      </c>
      <c r="K146" s="36" t="str" cm="1">
        <f t="array" ref="K146">IFERROR(INDEX(FORECAST!$D$12:$D$475, MATCH(1, INDEX((ISNUMBER(SEARCH($B146, FORECAST!$A$12:$A$475))) * (INT(FORECAST!$B$12:$B$475) &lt;= K$140) * (INT(FORECAST!$C$12:$C$475) &gt;= K$140), 0), 0)), "")</f>
        <v/>
      </c>
      <c r="L146" s="36" t="str" cm="1">
        <f t="array" ref="L146">IFERROR(INDEX(FORECAST!$D$12:$D$475, MATCH(1, INDEX((ISNUMBER(SEARCH($B146, FORECAST!$A$12:$A$475))) * (INT(FORECAST!$B$12:$B$475) &lt;= L$140) * (INT(FORECAST!$C$12:$C$475) &gt;= L$140), 0), 0)), "")</f>
        <v/>
      </c>
      <c r="M146" s="36" t="str" cm="1">
        <f t="array" ref="M146">IFERROR(INDEX(FORECAST!$D$12:$D$475, MATCH(1, INDEX((ISNUMBER(SEARCH($B146, FORECAST!$A$12:$A$475))) * (INT(FORECAST!$B$12:$B$475) &lt;= M$140) * (INT(FORECAST!$C$12:$C$475) &gt;= M$140), 0), 0)), "")</f>
        <v/>
      </c>
      <c r="N146" s="36" t="str" cm="1">
        <f t="array" ref="N146">IFERROR(INDEX(FORECAST!$D$12:$D$475, MATCH(1, INDEX((ISNUMBER(SEARCH($B146, FORECAST!$A$12:$A$475))) * (INT(FORECAST!$B$12:$B$475) &lt;= N$140) * (INT(FORECAST!$C$12:$C$475) &gt;= N$140), 0), 0)), "")</f>
        <v/>
      </c>
      <c r="O146" s="36" t="str" cm="1">
        <f t="array" ref="O146">IFERROR(INDEX(FORECAST!$D$12:$D$475, MATCH(1, INDEX((ISNUMBER(SEARCH($B146, FORECAST!$A$12:$A$475))) * (INT(FORECAST!$B$12:$B$475) &lt;= O$140) * (INT(FORECAST!$C$12:$C$475) &gt;= O$140), 0), 0)), "")</f>
        <v/>
      </c>
      <c r="P146" s="36" t="str" cm="1">
        <f t="array" ref="P146">IFERROR(INDEX(FORECAST!$D$12:$D$475, MATCH(1, INDEX((ISNUMBER(SEARCH($B146, FORECAST!$A$12:$A$475))) * (INT(FORECAST!$B$12:$B$475) &lt;= P$140) * (INT(FORECAST!$C$12:$C$475) &gt;= P$140), 0), 0)), "")</f>
        <v/>
      </c>
      <c r="Q146" s="36" t="str" cm="1">
        <f t="array" ref="Q146">IFERROR(INDEX(FORECAST!$D$12:$D$475, MATCH(1, INDEX((ISNUMBER(SEARCH($B146, FORECAST!$A$12:$A$475))) * (INT(FORECAST!$B$12:$B$475) &lt;= Q$140) * (INT(FORECAST!$C$12:$C$475) &gt;= Q$140), 0), 0)), "")</f>
        <v/>
      </c>
      <c r="R146" s="36" t="str" cm="1">
        <f t="array" ref="R146">IFERROR(INDEX(FORECAST!$D$12:$D$475, MATCH(1, INDEX((ISNUMBER(SEARCH($B146, FORECAST!$A$12:$A$475))) * (INT(FORECAST!$B$12:$B$475) &lt;= R$140) * (INT(FORECAST!$C$12:$C$475) &gt;= R$140), 0), 0)), "")</f>
        <v/>
      </c>
      <c r="S146" s="36" t="str" cm="1">
        <f t="array" ref="S146">IFERROR(INDEX(FORECAST!$D$12:$D$475, MATCH(1, INDEX((ISNUMBER(SEARCH($B146, FORECAST!$A$12:$A$475))) * (INT(FORECAST!$B$12:$B$475) &lt;= S$140) * (INT(FORECAST!$C$12:$C$475) &gt;= S$140), 0), 0)), "")</f>
        <v/>
      </c>
      <c r="T146" s="36" t="str" cm="1">
        <f t="array" ref="T146">IFERROR(INDEX(FORECAST!$D$12:$D$475, MATCH(1, INDEX((ISNUMBER(SEARCH($B146, FORECAST!$A$12:$A$475))) * (INT(FORECAST!$B$12:$B$475) &lt;= T$140) * (INT(FORECAST!$C$12:$C$475) &gt;= T$140), 0), 0)), "")</f>
        <v/>
      </c>
      <c r="U146" s="36" t="str" cm="1">
        <f t="array" ref="U146">IFERROR(INDEX(FORECAST!$D$12:$D$475, MATCH(1, INDEX((ISNUMBER(SEARCH($B146, FORECAST!$A$12:$A$475))) * (INT(FORECAST!$B$12:$B$475) &lt;= U$140) * (INT(FORECAST!$C$12:$C$475) &gt;= U$140), 0), 0)), "")</f>
        <v/>
      </c>
      <c r="V146" s="36" t="str" cm="1">
        <f t="array" ref="V146">IFERROR(INDEX(FORECAST!$D$12:$D$475, MATCH(1, INDEX((ISNUMBER(SEARCH($B146, FORECAST!$A$12:$A$475))) * (INT(FORECAST!$B$12:$B$475) &lt;= V$140) * (INT(FORECAST!$C$12:$C$475) &gt;= V$140), 0), 0)), "")</f>
        <v/>
      </c>
      <c r="W146" s="36" t="str" cm="1">
        <f t="array" ref="W146">IFERROR(INDEX(FORECAST!$D$12:$D$475, MATCH(1, INDEX((ISNUMBER(SEARCH($B146, FORECAST!$A$12:$A$475))) * (INT(FORECAST!$B$12:$B$475) &lt;= W$140) * (INT(FORECAST!$C$12:$C$475) &gt;= W$140), 0), 0)), "")</f>
        <v/>
      </c>
      <c r="X146" s="36" t="str" cm="1">
        <f t="array" ref="X146">IFERROR(INDEX(FORECAST!$D$12:$D$475, MATCH(1, INDEX((ISNUMBER(SEARCH($B146, FORECAST!$A$12:$A$475))) * (INT(FORECAST!$B$12:$B$475) &lt;= X$140) * (INT(FORECAST!$C$12:$C$475) &gt;= X$140), 0), 0)), "")</f>
        <v/>
      </c>
      <c r="Y146" s="36" t="str" cm="1">
        <f t="array" ref="Y146">IFERROR(INDEX(FORECAST!$D$12:$D$475, MATCH(1, INDEX((ISNUMBER(SEARCH($B146, FORECAST!$A$12:$A$475))) * (INT(FORECAST!$B$12:$B$475) &lt;= Y$140) * (INT(FORECAST!$C$12:$C$475) &gt;= Y$140), 0), 0)), "")</f>
        <v/>
      </c>
      <c r="Z146" s="36" t="str" cm="1">
        <f t="array" ref="Z146">IFERROR(INDEX(FORECAST!$D$12:$D$475, MATCH(1, INDEX((ISNUMBER(SEARCH($B146, FORECAST!$A$12:$A$475))) * (INT(FORECAST!$B$12:$B$475) &lt;= Z$140) * (INT(FORECAST!$C$12:$C$475) &gt;= Z$140), 0), 0)), "")</f>
        <v/>
      </c>
      <c r="AA146" s="36" t="str" cm="1">
        <f t="array" ref="AA146">IFERROR(INDEX(FORECAST!$D$12:$D$475, MATCH(1, INDEX((ISNUMBER(SEARCH($B146, FORECAST!$A$12:$A$475))) * (INT(FORECAST!$B$12:$B$475) &lt;= AA$140) * (INT(FORECAST!$C$12:$C$475) &gt;= AA$140), 0), 0)), "")</f>
        <v/>
      </c>
      <c r="AB146" s="36" t="str" cm="1">
        <f t="array" ref="AB146">IFERROR(INDEX(FORECAST!$D$12:$D$475, MATCH(1, INDEX((ISNUMBER(SEARCH($B146, FORECAST!$A$12:$A$475))) * (INT(FORECAST!$B$12:$B$475) &lt;= AB$140) * (INT(FORECAST!$C$12:$C$475) &gt;= AB$140), 0), 0)), "")</f>
        <v/>
      </c>
      <c r="AC146" s="36" t="str" cm="1">
        <f t="array" ref="AC146">IFERROR(INDEX(FORECAST!$D$12:$D$475, MATCH(1, INDEX((ISNUMBER(SEARCH($B146, FORECAST!$A$12:$A$475))) * (INT(FORECAST!$B$12:$B$475) &lt;= AC$140) * (INT(FORECAST!$C$12:$C$475) &gt;= AC$140), 0), 0)), "")</f>
        <v/>
      </c>
      <c r="AD146" s="36" t="str" cm="1">
        <f t="array" ref="AD146">IFERROR(INDEX(FORECAST!$D$12:$D$475, MATCH(1, INDEX((ISNUMBER(SEARCH($B146, FORECAST!$A$12:$A$475))) * (INT(FORECAST!$B$12:$B$475) &lt;= AD$140) * (INT(FORECAST!$C$12:$C$475) &gt;= AD$140), 0), 0)), "")</f>
        <v/>
      </c>
      <c r="AE146" s="36" t="str" cm="1">
        <f t="array" ref="AE146">IFERROR(INDEX(FORECAST!$D$12:$D$475, MATCH(1, INDEX((ISNUMBER(SEARCH($B146, FORECAST!$A$12:$A$475))) * (INT(FORECAST!$B$12:$B$475) &lt;= AE$140) * (INT(FORECAST!$C$12:$C$475) &gt;= AE$140), 0), 0)), "")</f>
        <v/>
      </c>
      <c r="AF146" s="36" t="str" cm="1">
        <f t="array" ref="AF146">IFERROR(INDEX(FORECAST!$D$12:$D$475, MATCH(1, INDEX((ISNUMBER(SEARCH($B146, FORECAST!$A$12:$A$475))) * (INT(FORECAST!$B$12:$B$475) &lt;= AF$140) * (INT(FORECAST!$C$12:$C$475) &gt;= AF$140), 0), 0)), "")</f>
        <v/>
      </c>
      <c r="AG146" s="36" t="str" cm="1">
        <f t="array" ref="AG146">IFERROR(INDEX(FORECAST!$D$12:$D$475, MATCH(1, INDEX((ISNUMBER(SEARCH($B146, FORECAST!$A$12:$A$475))) * (INT(FORECAST!$B$12:$B$475) &lt;= AG$140) * (INT(FORECAST!$C$12:$C$475) &gt;= AG$140), 0), 0)), "")</f>
        <v/>
      </c>
      <c r="AH146" s="2"/>
      <c r="AJ146" s="45">
        <f t="shared" si="11"/>
        <v>0</v>
      </c>
    </row>
    <row r="147" spans="1:36" x14ac:dyDescent="0.25">
      <c r="A147" s="69"/>
      <c r="B147" s="25" t="s">
        <v>9</v>
      </c>
      <c r="C147" s="36" t="str" cm="1">
        <f t="array" ref="C147">IFERROR(INDEX(FORECAST!$D$12:$D$475, MATCH(1, INDEX((ISNUMBER(SEARCH($B147, FORECAST!$A$12:$A$475))) * (INT(FORECAST!$B$12:$B$475) &lt;= C$140) * (INT(FORECAST!$C$12:$C$475) &gt;= C$140), 0), 0)), "")</f>
        <v>Tentativo</v>
      </c>
      <c r="D147" s="36" t="str" cm="1">
        <f t="array" ref="D147">IFERROR(INDEX(FORECAST!$D$12:$D$475, MATCH(1, INDEX((ISNUMBER(SEARCH($B147, FORECAST!$A$12:$A$475))) * (INT(FORECAST!$B$12:$B$475) &lt;= D$140) * (INT(FORECAST!$C$12:$C$475) &gt;= D$140), 0), 0)), "")</f>
        <v/>
      </c>
      <c r="E147" s="36" t="str" cm="1">
        <f t="array" ref="E147">IFERROR(INDEX(FORECAST!$D$12:$D$475, MATCH(1, INDEX((ISNUMBER(SEARCH($B147, FORECAST!$A$12:$A$475))) * (INT(FORECAST!$B$12:$B$475) &lt;= E$140) * (INT(FORECAST!$C$12:$C$475) &gt;= E$140), 0), 0)), "")</f>
        <v/>
      </c>
      <c r="F147" s="36" t="str" cm="1">
        <f t="array" ref="F147">IFERROR(INDEX(FORECAST!$D$12:$D$475, MATCH(1, INDEX((ISNUMBER(SEARCH($B147, FORECAST!$A$12:$A$475))) * (INT(FORECAST!$B$12:$B$475) &lt;= F$140) * (INT(FORECAST!$C$12:$C$475) &gt;= F$140), 0), 0)), "")</f>
        <v/>
      </c>
      <c r="G147" s="36" t="str" cm="1">
        <f t="array" ref="G147">IFERROR(INDEX(FORECAST!$D$12:$D$475, MATCH(1, INDEX((ISNUMBER(SEARCH($B147, FORECAST!$A$12:$A$475))) * (INT(FORECAST!$B$12:$B$475) &lt;= G$140) * (INT(FORECAST!$C$12:$C$475) &gt;= G$140), 0), 0)), "")</f>
        <v/>
      </c>
      <c r="H147" s="36" t="str" cm="1">
        <f t="array" ref="H147">IFERROR(INDEX(FORECAST!$D$12:$D$475, MATCH(1, INDEX((ISNUMBER(SEARCH($B147, FORECAST!$A$12:$A$475))) * (INT(FORECAST!$B$12:$B$475) &lt;= H$140) * (INT(FORECAST!$C$12:$C$475) &gt;= H$140), 0), 0)), "")</f>
        <v/>
      </c>
      <c r="I147" s="36" t="str" cm="1">
        <f t="array" ref="I147">IFERROR(INDEX(FORECAST!$D$12:$D$475, MATCH(1, INDEX((ISNUMBER(SEARCH($B147, FORECAST!$A$12:$A$475))) * (INT(FORECAST!$B$12:$B$475) &lt;= I$140) * (INT(FORECAST!$C$12:$C$475) &gt;= I$140), 0), 0)), "")</f>
        <v/>
      </c>
      <c r="J147" s="36" t="str" cm="1">
        <f t="array" ref="J147">IFERROR(INDEX(FORECAST!$D$12:$D$475, MATCH(1, INDEX((ISNUMBER(SEARCH($B147, FORECAST!$A$12:$A$475))) * (INT(FORECAST!$B$12:$B$475) &lt;= J$140) * (INT(FORECAST!$C$12:$C$475) &gt;= J$140), 0), 0)), "")</f>
        <v/>
      </c>
      <c r="K147" s="36" t="str" cm="1">
        <f t="array" ref="K147">IFERROR(INDEX(FORECAST!$D$12:$D$475, MATCH(1, INDEX((ISNUMBER(SEARCH($B147, FORECAST!$A$12:$A$475))) * (INT(FORECAST!$B$12:$B$475) &lt;= K$140) * (INT(FORECAST!$C$12:$C$475) &gt;= K$140), 0), 0)), "")</f>
        <v/>
      </c>
      <c r="L147" s="36" t="str" cm="1">
        <f t="array" ref="L147">IFERROR(INDEX(FORECAST!$D$12:$D$475, MATCH(1, INDEX((ISNUMBER(SEARCH($B147, FORECAST!$A$12:$A$475))) * (INT(FORECAST!$B$12:$B$475) &lt;= L$140) * (INT(FORECAST!$C$12:$C$475) &gt;= L$140), 0), 0)), "")</f>
        <v/>
      </c>
      <c r="M147" s="36" t="str" cm="1">
        <f t="array" ref="M147">IFERROR(INDEX(FORECAST!$D$12:$D$475, MATCH(1, INDEX((ISNUMBER(SEARCH($B147, FORECAST!$A$12:$A$475))) * (INT(FORECAST!$B$12:$B$475) &lt;= M$140) * (INT(FORECAST!$C$12:$C$475) &gt;= M$140), 0), 0)), "")</f>
        <v/>
      </c>
      <c r="N147" s="36" t="str" cm="1">
        <f t="array" ref="N147">IFERROR(INDEX(FORECAST!$D$12:$D$475, MATCH(1, INDEX((ISNUMBER(SEARCH($B147, FORECAST!$A$12:$A$475))) * (INT(FORECAST!$B$12:$B$475) &lt;= N$140) * (INT(FORECAST!$C$12:$C$475) &gt;= N$140), 0), 0)), "")</f>
        <v/>
      </c>
      <c r="O147" s="36" t="str" cm="1">
        <f t="array" ref="O147">IFERROR(INDEX(FORECAST!$D$12:$D$475, MATCH(1, INDEX((ISNUMBER(SEARCH($B147, FORECAST!$A$12:$A$475))) * (INT(FORECAST!$B$12:$B$475) &lt;= O$140) * (INT(FORECAST!$C$12:$C$475) &gt;= O$140), 0), 0)), "")</f>
        <v/>
      </c>
      <c r="P147" s="36" t="str" cm="1">
        <f t="array" ref="P147">IFERROR(INDEX(FORECAST!$D$12:$D$475, MATCH(1, INDEX((ISNUMBER(SEARCH($B147, FORECAST!$A$12:$A$475))) * (INT(FORECAST!$B$12:$B$475) &lt;= P$140) * (INT(FORECAST!$C$12:$C$475) &gt;= P$140), 0), 0)), "")</f>
        <v/>
      </c>
      <c r="Q147" s="36" t="str" cm="1">
        <f t="array" ref="Q147">IFERROR(INDEX(FORECAST!$D$12:$D$475, MATCH(1, INDEX((ISNUMBER(SEARCH($B147, FORECAST!$A$12:$A$475))) * (INT(FORECAST!$B$12:$B$475) &lt;= Q$140) * (INT(FORECAST!$C$12:$C$475) &gt;= Q$140), 0), 0)), "")</f>
        <v/>
      </c>
      <c r="R147" s="36" t="str" cm="1">
        <f t="array" ref="R147">IFERROR(INDEX(FORECAST!$D$12:$D$475, MATCH(1, INDEX((ISNUMBER(SEARCH($B147, FORECAST!$A$12:$A$475))) * (INT(FORECAST!$B$12:$B$475) &lt;= R$140) * (INT(FORECAST!$C$12:$C$475) &gt;= R$140), 0), 0)), "")</f>
        <v/>
      </c>
      <c r="S147" s="36" t="str" cm="1">
        <f t="array" ref="S147">IFERROR(INDEX(FORECAST!$D$12:$D$475, MATCH(1, INDEX((ISNUMBER(SEARCH($B147, FORECAST!$A$12:$A$475))) * (INT(FORECAST!$B$12:$B$475) &lt;= S$140) * (INT(FORECAST!$C$12:$C$475) &gt;= S$140), 0), 0)), "")</f>
        <v/>
      </c>
      <c r="T147" s="36" t="str" cm="1">
        <f t="array" ref="T147">IFERROR(INDEX(FORECAST!$D$12:$D$475, MATCH(1, INDEX((ISNUMBER(SEARCH($B147, FORECAST!$A$12:$A$475))) * (INT(FORECAST!$B$12:$B$475) &lt;= T$140) * (INT(FORECAST!$C$12:$C$475) &gt;= T$140), 0), 0)), "")</f>
        <v/>
      </c>
      <c r="U147" s="36" t="str" cm="1">
        <f t="array" ref="U147">IFERROR(INDEX(FORECAST!$D$12:$D$475, MATCH(1, INDEX((ISNUMBER(SEARCH($B147, FORECAST!$A$12:$A$475))) * (INT(FORECAST!$B$12:$B$475) &lt;= U$140) * (INT(FORECAST!$C$12:$C$475) &gt;= U$140), 0), 0)), "")</f>
        <v/>
      </c>
      <c r="V147" s="36" t="str" cm="1">
        <f t="array" ref="V147">IFERROR(INDEX(FORECAST!$D$12:$D$475, MATCH(1, INDEX((ISNUMBER(SEARCH($B147, FORECAST!$A$12:$A$475))) * (INT(FORECAST!$B$12:$B$475) &lt;= V$140) * (INT(FORECAST!$C$12:$C$475) &gt;= V$140), 0), 0)), "")</f>
        <v/>
      </c>
      <c r="W147" s="36" t="str" cm="1">
        <f t="array" ref="W147">IFERROR(INDEX(FORECAST!$D$12:$D$475, MATCH(1, INDEX((ISNUMBER(SEARCH($B147, FORECAST!$A$12:$A$475))) * (INT(FORECAST!$B$12:$B$475) &lt;= W$140) * (INT(FORECAST!$C$12:$C$475) &gt;= W$140), 0), 0)), "")</f>
        <v/>
      </c>
      <c r="X147" s="36" t="str" cm="1">
        <f t="array" ref="X147">IFERROR(INDEX(FORECAST!$D$12:$D$475, MATCH(1, INDEX((ISNUMBER(SEARCH($B147, FORECAST!$A$12:$A$475))) * (INT(FORECAST!$B$12:$B$475) &lt;= X$140) * (INT(FORECAST!$C$12:$C$475) &gt;= X$140), 0), 0)), "")</f>
        <v/>
      </c>
      <c r="Y147" s="36" t="str" cm="1">
        <f t="array" ref="Y147">IFERROR(INDEX(FORECAST!$D$12:$D$475, MATCH(1, INDEX((ISNUMBER(SEARCH($B147, FORECAST!$A$12:$A$475))) * (INT(FORECAST!$B$12:$B$475) &lt;= Y$140) * (INT(FORECAST!$C$12:$C$475) &gt;= Y$140), 0), 0)), "")</f>
        <v/>
      </c>
      <c r="Z147" s="36" t="str" cm="1">
        <f t="array" ref="Z147">IFERROR(INDEX(FORECAST!$D$12:$D$475, MATCH(1, INDEX((ISNUMBER(SEARCH($B147, FORECAST!$A$12:$A$475))) * (INT(FORECAST!$B$12:$B$475) &lt;= Z$140) * (INT(FORECAST!$C$12:$C$475) &gt;= Z$140), 0), 0)), "")</f>
        <v/>
      </c>
      <c r="AA147" s="36" t="str" cm="1">
        <f t="array" ref="AA147">IFERROR(INDEX(FORECAST!$D$12:$D$475, MATCH(1, INDEX((ISNUMBER(SEARCH($B147, FORECAST!$A$12:$A$475))) * (INT(FORECAST!$B$12:$B$475) &lt;= AA$140) * (INT(FORECAST!$C$12:$C$475) &gt;= AA$140), 0), 0)), "")</f>
        <v/>
      </c>
      <c r="AB147" s="36" t="str" cm="1">
        <f t="array" ref="AB147">IFERROR(INDEX(FORECAST!$D$12:$D$475, MATCH(1, INDEX((ISNUMBER(SEARCH($B147, FORECAST!$A$12:$A$475))) * (INT(FORECAST!$B$12:$B$475) &lt;= AB$140) * (INT(FORECAST!$C$12:$C$475) &gt;= AB$140), 0), 0)), "")</f>
        <v/>
      </c>
      <c r="AC147" s="36" t="str" cm="1">
        <f t="array" ref="AC147">IFERROR(INDEX(FORECAST!$D$12:$D$475, MATCH(1, INDEX((ISNUMBER(SEARCH($B147, FORECAST!$A$12:$A$475))) * (INT(FORECAST!$B$12:$B$475) &lt;= AC$140) * (INT(FORECAST!$C$12:$C$475) &gt;= AC$140), 0), 0)), "")</f>
        <v/>
      </c>
      <c r="AD147" s="36" t="str" cm="1">
        <f t="array" ref="AD147">IFERROR(INDEX(FORECAST!$D$12:$D$475, MATCH(1, INDEX((ISNUMBER(SEARCH($B147, FORECAST!$A$12:$A$475))) * (INT(FORECAST!$B$12:$B$475) &lt;= AD$140) * (INT(FORECAST!$C$12:$C$475) &gt;= AD$140), 0), 0)), "")</f>
        <v/>
      </c>
      <c r="AE147" s="36" t="str" cm="1">
        <f t="array" ref="AE147">IFERROR(INDEX(FORECAST!$D$12:$D$475, MATCH(1, INDEX((ISNUMBER(SEARCH($B147, FORECAST!$A$12:$A$475))) * (INT(FORECAST!$B$12:$B$475) &lt;= AE$140) * (INT(FORECAST!$C$12:$C$475) &gt;= AE$140), 0), 0)), "")</f>
        <v/>
      </c>
      <c r="AF147" s="36" t="str" cm="1">
        <f t="array" ref="AF147">IFERROR(INDEX(FORECAST!$D$12:$D$475, MATCH(1, INDEX((ISNUMBER(SEARCH($B147, FORECAST!$A$12:$A$475))) * (INT(FORECAST!$B$12:$B$475) &lt;= AF$140) * (INT(FORECAST!$C$12:$C$475) &gt;= AF$140), 0), 0)), "")</f>
        <v/>
      </c>
      <c r="AG147" s="36" t="str" cm="1">
        <f t="array" ref="AG147">IFERROR(INDEX(FORECAST!$D$12:$D$475, MATCH(1, INDEX((ISNUMBER(SEARCH($B147, FORECAST!$A$12:$A$475))) * (INT(FORECAST!$B$12:$B$475) &lt;= AG$140) * (INT(FORECAST!$C$12:$C$475) &gt;= AG$140), 0), 0)), "")</f>
        <v/>
      </c>
      <c r="AH147" s="16"/>
      <c r="AJ147" s="45">
        <f t="shared" si="11"/>
        <v>0</v>
      </c>
    </row>
    <row r="148" spans="1:36" x14ac:dyDescent="0.25">
      <c r="A148" s="69"/>
      <c r="B148" s="25" t="s">
        <v>80</v>
      </c>
      <c r="C148" s="36" t="str" cm="1">
        <f t="array" ref="C148">IFERROR(INDEX(FORECAST!$D$12:$D$475, MATCH(1, INDEX((ISNUMBER(SEARCH($B148, FORECAST!$A$12:$A$475))) * (INT(FORECAST!$B$12:$B$475) &lt;= C$140) * (INT(FORECAST!$C$12:$C$475) &gt;= C$140), 0), 0)), "")</f>
        <v>Tentativo</v>
      </c>
      <c r="D148" s="36" t="str" cm="1">
        <f t="array" ref="D148">IFERROR(INDEX(FORECAST!$D$12:$D$475, MATCH(1, INDEX((ISNUMBER(SEARCH($B148, FORECAST!$A$12:$A$475))) * (INT(FORECAST!$B$12:$B$475) &lt;= D$140) * (INT(FORECAST!$C$12:$C$475) &gt;= D$140), 0), 0)), "")</f>
        <v/>
      </c>
      <c r="E148" s="36" t="str" cm="1">
        <f t="array" ref="E148">IFERROR(INDEX(FORECAST!$D$12:$D$475, MATCH(1, INDEX((ISNUMBER(SEARCH($B148, FORECAST!$A$12:$A$475))) * (INT(FORECAST!$B$12:$B$475) &lt;= E$140) * (INT(FORECAST!$C$12:$C$475) &gt;= E$140), 0), 0)), "")</f>
        <v/>
      </c>
      <c r="F148" s="36" t="str" cm="1">
        <f t="array" ref="F148">IFERROR(INDEX(FORECAST!$D$12:$D$475, MATCH(1, INDEX((ISNUMBER(SEARCH($B148, FORECAST!$A$12:$A$475))) * (INT(FORECAST!$B$12:$B$475) &lt;= F$140) * (INT(FORECAST!$C$12:$C$475) &gt;= F$140), 0), 0)), "")</f>
        <v/>
      </c>
      <c r="G148" s="36" t="str" cm="1">
        <f t="array" ref="G148">IFERROR(INDEX(FORECAST!$D$12:$D$475, MATCH(1, INDEX((ISNUMBER(SEARCH($B148, FORECAST!$A$12:$A$475))) * (INT(FORECAST!$B$12:$B$475) &lt;= G$140) * (INT(FORECAST!$C$12:$C$475) &gt;= G$140), 0), 0)), "")</f>
        <v/>
      </c>
      <c r="H148" s="36" t="str" cm="1">
        <f t="array" ref="H148">IFERROR(INDEX(FORECAST!$D$12:$D$475, MATCH(1, INDEX((ISNUMBER(SEARCH($B148, FORECAST!$A$12:$A$475))) * (INT(FORECAST!$B$12:$B$475) &lt;= H$140) * (INT(FORECAST!$C$12:$C$475) &gt;= H$140), 0), 0)), "")</f>
        <v/>
      </c>
      <c r="I148" s="36" t="str" cm="1">
        <f t="array" ref="I148">IFERROR(INDEX(FORECAST!$D$12:$D$475, MATCH(1, INDEX((ISNUMBER(SEARCH($B148, FORECAST!$A$12:$A$475))) * (INT(FORECAST!$B$12:$B$475) &lt;= I$140) * (INT(FORECAST!$C$12:$C$475) &gt;= I$140), 0), 0)), "")</f>
        <v/>
      </c>
      <c r="J148" s="36" t="str" cm="1">
        <f t="array" ref="J148">IFERROR(INDEX(FORECAST!$D$12:$D$475, MATCH(1, INDEX((ISNUMBER(SEARCH($B148, FORECAST!$A$12:$A$475))) * (INT(FORECAST!$B$12:$B$475) &lt;= J$140) * (INT(FORECAST!$C$12:$C$475) &gt;= J$140), 0), 0)), "")</f>
        <v/>
      </c>
      <c r="K148" s="36" t="str" cm="1">
        <f t="array" ref="K148">IFERROR(INDEX(FORECAST!$D$12:$D$475, MATCH(1, INDEX((ISNUMBER(SEARCH($B148, FORECAST!$A$12:$A$475))) * (INT(FORECAST!$B$12:$B$475) &lt;= K$140) * (INT(FORECAST!$C$12:$C$475) &gt;= K$140), 0), 0)), "")</f>
        <v/>
      </c>
      <c r="L148" s="36" t="str" cm="1">
        <f t="array" ref="L148">IFERROR(INDEX(FORECAST!$D$12:$D$475, MATCH(1, INDEX((ISNUMBER(SEARCH($B148, FORECAST!$A$12:$A$475))) * (INT(FORECAST!$B$12:$B$475) &lt;= L$140) * (INT(FORECAST!$C$12:$C$475) &gt;= L$140), 0), 0)), "")</f>
        <v/>
      </c>
      <c r="M148" s="36" t="str" cm="1">
        <f t="array" ref="M148">IFERROR(INDEX(FORECAST!$D$12:$D$475, MATCH(1, INDEX((ISNUMBER(SEARCH($B148, FORECAST!$A$12:$A$475))) * (INT(FORECAST!$B$12:$B$475) &lt;= M$140) * (INT(FORECAST!$C$12:$C$475) &gt;= M$140), 0), 0)), "")</f>
        <v/>
      </c>
      <c r="N148" s="36" t="str" cm="1">
        <f t="array" ref="N148">IFERROR(INDEX(FORECAST!$D$12:$D$475, MATCH(1, INDEX((ISNUMBER(SEARCH($B148, FORECAST!$A$12:$A$475))) * (INT(FORECAST!$B$12:$B$475) &lt;= N$140) * (INT(FORECAST!$C$12:$C$475) &gt;= N$140), 0), 0)), "")</f>
        <v/>
      </c>
      <c r="O148" s="36" t="str" cm="1">
        <f t="array" ref="O148">IFERROR(INDEX(FORECAST!$D$12:$D$475, MATCH(1, INDEX((ISNUMBER(SEARCH($B148, FORECAST!$A$12:$A$475))) * (INT(FORECAST!$B$12:$B$475) &lt;= O$140) * (INT(FORECAST!$C$12:$C$475) &gt;= O$140), 0), 0)), "")</f>
        <v/>
      </c>
      <c r="P148" s="36" t="str" cm="1">
        <f t="array" ref="P148">IFERROR(INDEX(FORECAST!$D$12:$D$475, MATCH(1, INDEX((ISNUMBER(SEARCH($B148, FORECAST!$A$12:$A$475))) * (INT(FORECAST!$B$12:$B$475) &lt;= P$140) * (INT(FORECAST!$C$12:$C$475) &gt;= P$140), 0), 0)), "")</f>
        <v/>
      </c>
      <c r="Q148" s="36" t="str" cm="1">
        <f t="array" ref="Q148">IFERROR(INDEX(FORECAST!$D$12:$D$475, MATCH(1, INDEX((ISNUMBER(SEARCH($B148, FORECAST!$A$12:$A$475))) * (INT(FORECAST!$B$12:$B$475) &lt;= Q$140) * (INT(FORECAST!$C$12:$C$475) &gt;= Q$140), 0), 0)), "")</f>
        <v/>
      </c>
      <c r="R148" s="36" t="str" cm="1">
        <f t="array" ref="R148">IFERROR(INDEX(FORECAST!$D$12:$D$475, MATCH(1, INDEX((ISNUMBER(SEARCH($B148, FORECAST!$A$12:$A$475))) * (INT(FORECAST!$B$12:$B$475) &lt;= R$140) * (INT(FORECAST!$C$12:$C$475) &gt;= R$140), 0), 0)), "")</f>
        <v/>
      </c>
      <c r="S148" s="36" t="str" cm="1">
        <f t="array" ref="S148">IFERROR(INDEX(FORECAST!$D$12:$D$475, MATCH(1, INDEX((ISNUMBER(SEARCH($B148, FORECAST!$A$12:$A$475))) * (INT(FORECAST!$B$12:$B$475) &lt;= S$140) * (INT(FORECAST!$C$12:$C$475) &gt;= S$140), 0), 0)), "")</f>
        <v/>
      </c>
      <c r="T148" s="36" t="str" cm="1">
        <f t="array" ref="T148">IFERROR(INDEX(FORECAST!$D$12:$D$475, MATCH(1, INDEX((ISNUMBER(SEARCH($B148, FORECAST!$A$12:$A$475))) * (INT(FORECAST!$B$12:$B$475) &lt;= T$140) * (INT(FORECAST!$C$12:$C$475) &gt;= T$140), 0), 0)), "")</f>
        <v/>
      </c>
      <c r="U148" s="36" t="str" cm="1">
        <f t="array" ref="U148">IFERROR(INDEX(FORECAST!$D$12:$D$475, MATCH(1, INDEX((ISNUMBER(SEARCH($B148, FORECAST!$A$12:$A$475))) * (INT(FORECAST!$B$12:$B$475) &lt;= U$140) * (INT(FORECAST!$C$12:$C$475) &gt;= U$140), 0), 0)), "")</f>
        <v/>
      </c>
      <c r="V148" s="36" t="str" cm="1">
        <f t="array" ref="V148">IFERROR(INDEX(FORECAST!$D$12:$D$475, MATCH(1, INDEX((ISNUMBER(SEARCH($B148, FORECAST!$A$12:$A$475))) * (INT(FORECAST!$B$12:$B$475) &lt;= V$140) * (INT(FORECAST!$C$12:$C$475) &gt;= V$140), 0), 0)), "")</f>
        <v/>
      </c>
      <c r="W148" s="36" t="str" cm="1">
        <f t="array" ref="W148">IFERROR(INDEX(FORECAST!$D$12:$D$475, MATCH(1, INDEX((ISNUMBER(SEARCH($B148, FORECAST!$A$12:$A$475))) * (INT(FORECAST!$B$12:$B$475) &lt;= W$140) * (INT(FORECAST!$C$12:$C$475) &gt;= W$140), 0), 0)), "")</f>
        <v/>
      </c>
      <c r="X148" s="36" t="str" cm="1">
        <f t="array" ref="X148">IFERROR(INDEX(FORECAST!$D$12:$D$475, MATCH(1, INDEX((ISNUMBER(SEARCH($B148, FORECAST!$A$12:$A$475))) * (INT(FORECAST!$B$12:$B$475) &lt;= X$140) * (INT(FORECAST!$C$12:$C$475) &gt;= X$140), 0), 0)), "")</f>
        <v/>
      </c>
      <c r="Y148" s="36" t="str" cm="1">
        <f t="array" ref="Y148">IFERROR(INDEX(FORECAST!$D$12:$D$475, MATCH(1, INDEX((ISNUMBER(SEARCH($B148, FORECAST!$A$12:$A$475))) * (INT(FORECAST!$B$12:$B$475) &lt;= Y$140) * (INT(FORECAST!$C$12:$C$475) &gt;= Y$140), 0), 0)), "")</f>
        <v/>
      </c>
      <c r="Z148" s="36" t="str" cm="1">
        <f t="array" ref="Z148">IFERROR(INDEX(FORECAST!$D$12:$D$475, MATCH(1, INDEX((ISNUMBER(SEARCH($B148, FORECAST!$A$12:$A$475))) * (INT(FORECAST!$B$12:$B$475) &lt;= Z$140) * (INT(FORECAST!$C$12:$C$475) &gt;= Z$140), 0), 0)), "")</f>
        <v/>
      </c>
      <c r="AA148" s="36" t="str" cm="1">
        <f t="array" ref="AA148">IFERROR(INDEX(FORECAST!$D$12:$D$475, MATCH(1, INDEX((ISNUMBER(SEARCH($B148, FORECAST!$A$12:$A$475))) * (INT(FORECAST!$B$12:$B$475) &lt;= AA$140) * (INT(FORECAST!$C$12:$C$475) &gt;= AA$140), 0), 0)), "")</f>
        <v/>
      </c>
      <c r="AB148" s="36" t="str" cm="1">
        <f t="array" ref="AB148">IFERROR(INDEX(FORECAST!$D$12:$D$475, MATCH(1, INDEX((ISNUMBER(SEARCH($B148, FORECAST!$A$12:$A$475))) * (INT(FORECAST!$B$12:$B$475) &lt;= AB$140) * (INT(FORECAST!$C$12:$C$475) &gt;= AB$140), 0), 0)), "")</f>
        <v/>
      </c>
      <c r="AC148" s="36" t="str" cm="1">
        <f t="array" ref="AC148">IFERROR(INDEX(FORECAST!$D$12:$D$475, MATCH(1, INDEX((ISNUMBER(SEARCH($B148, FORECAST!$A$12:$A$475))) * (INT(FORECAST!$B$12:$B$475) &lt;= AC$140) * (INT(FORECAST!$C$12:$C$475) &gt;= AC$140), 0), 0)), "")</f>
        <v/>
      </c>
      <c r="AD148" s="36" t="str" cm="1">
        <f t="array" ref="AD148">IFERROR(INDEX(FORECAST!$D$12:$D$475, MATCH(1, INDEX((ISNUMBER(SEARCH($B148, FORECAST!$A$12:$A$475))) * (INT(FORECAST!$B$12:$B$475) &lt;= AD$140) * (INT(FORECAST!$C$12:$C$475) &gt;= AD$140), 0), 0)), "")</f>
        <v/>
      </c>
      <c r="AE148" s="36" t="str" cm="1">
        <f t="array" ref="AE148">IFERROR(INDEX(FORECAST!$D$12:$D$475, MATCH(1, INDEX((ISNUMBER(SEARCH($B148, FORECAST!$A$12:$A$475))) * (INT(FORECAST!$B$12:$B$475) &lt;= AE$140) * (INT(FORECAST!$C$12:$C$475) &gt;= AE$140), 0), 0)), "")</f>
        <v/>
      </c>
      <c r="AF148" s="36" t="str" cm="1">
        <f t="array" ref="AF148">IFERROR(INDEX(FORECAST!$D$12:$D$475, MATCH(1, INDEX((ISNUMBER(SEARCH($B148, FORECAST!$A$12:$A$475))) * (INT(FORECAST!$B$12:$B$475) &lt;= AF$140) * (INT(FORECAST!$C$12:$C$475) &gt;= AF$140), 0), 0)), "")</f>
        <v/>
      </c>
      <c r="AG148" s="36" t="str" cm="1">
        <f t="array" ref="AG148">IFERROR(INDEX(FORECAST!$D$12:$D$475, MATCH(1, INDEX((ISNUMBER(SEARCH($B148, FORECAST!$A$12:$A$475))) * (INT(FORECAST!$B$12:$B$475) &lt;= AG$140) * (INT(FORECAST!$C$12:$C$475) &gt;= AG$140), 0), 0)), "")</f>
        <v/>
      </c>
      <c r="AH148" s="16"/>
      <c r="AJ148" s="18"/>
    </row>
    <row r="149" spans="1:36" x14ac:dyDescent="0.25">
      <c r="AE149" s="9" t="str" cm="1">
        <f t="array" ref="AE149">IFERROR(INDEX(FORECAST!$E$12:$E$475, MATCH(1, INDEX((ISNUMBER(SEARCH($C149, FORECAST!$A$12:$A$475))) * (FORECAST!$B$12:$B$475 &lt;= AE$37) * (FORECAST!$C$12:$C$475 &gt;= AE$37), 0), 0)), "")</f>
        <v/>
      </c>
      <c r="AF149" s="9" t="str" cm="1">
        <f t="array" ref="AF149">IFERROR(INDEX(FORECAST!$E$12:$E$475, MATCH(1, INDEX((ISNUMBER(SEARCH($C149, FORECAST!$A$12:$A$475))) * (FORECAST!$B$12:$B$475 &lt;= AF$37) * (FORECAST!$C$12:$C$475 &gt;= AF$37), 0), 0)), "")</f>
        <v/>
      </c>
      <c r="AG149" s="9"/>
      <c r="AH149" s="2"/>
    </row>
    <row r="150" spans="1:36" x14ac:dyDescent="0.25">
      <c r="B150" s="2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2"/>
      <c r="AF150" s="9"/>
      <c r="AG150" s="9"/>
      <c r="AH150" s="2"/>
      <c r="AI150" s="18"/>
    </row>
    <row r="151" spans="1:36" x14ac:dyDescent="0.25">
      <c r="B151" s="2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"/>
    </row>
    <row r="152" spans="1:36" x14ac:dyDescent="0.25">
      <c r="B152" s="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2"/>
    </row>
    <row r="153" spans="1:36" x14ac:dyDescent="0.25">
      <c r="B153" s="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2"/>
    </row>
    <row r="154" spans="1:36" x14ac:dyDescent="0.25">
      <c r="B154" s="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2"/>
    </row>
    <row r="155" spans="1:36" x14ac:dyDescent="0.25">
      <c r="B155" s="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2"/>
    </row>
    <row r="156" spans="1:36" x14ac:dyDescent="0.25">
      <c r="B156" s="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2"/>
    </row>
    <row r="157" spans="1:36" x14ac:dyDescent="0.25">
      <c r="B157" s="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1:36" x14ac:dyDescent="0.25">
      <c r="B158" s="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1:36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9"/>
      <c r="AF159" s="9"/>
      <c r="AG159" s="9"/>
    </row>
    <row r="160" spans="1:36" x14ac:dyDescent="0.25">
      <c r="B160" s="2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9"/>
      <c r="AF160" s="9"/>
      <c r="AG160" s="9"/>
    </row>
  </sheetData>
  <mergeCells count="12">
    <mergeCell ref="A13:A20"/>
    <mergeCell ref="A24:A31"/>
    <mergeCell ref="A35:A42"/>
    <mergeCell ref="A47:A54"/>
    <mergeCell ref="A141:A148"/>
    <mergeCell ref="A117:A124"/>
    <mergeCell ref="A129:A136"/>
    <mergeCell ref="A58:A65"/>
    <mergeCell ref="A70:A77"/>
    <mergeCell ref="A82:A89"/>
    <mergeCell ref="A94:A101"/>
    <mergeCell ref="A105:A112"/>
  </mergeCells>
  <conditionalFormatting sqref="C13:AG21 C24:AD31 C35:AG42 C47:AF54 C58:AG65 C70:AF78 C82:AG89 C94:AG101 C105:AG112 C117:AG125 C129:AG136 C141:AG148 C152:AG158">
    <cfRule type="containsText" dxfId="21" priority="1" operator="containsText" text="Garantizado">
      <formula>NOT(ISERROR(SEARCH("Garantizado",C13)))</formula>
    </cfRule>
    <cfRule type="containsText" dxfId="20" priority="2" operator="containsText" text="Tentativo">
      <formula>NOT(ISERROR(SEARCH("Tentativo",C13)))</formula>
    </cfRule>
    <cfRule type="containsText" dxfId="19" priority="6" operator="containsText" text="Presupuesto">
      <formula>NOT(ISERROR(SEARCH("Presupuesto",C13)))</formula>
    </cfRule>
  </conditionalFormatting>
  <conditionalFormatting sqref="AH38:AH42 AE43:AH44 AH45 AE66:AG67 AE90:AG91 AE113:AG114 AE137:AG137 AG138 AE149:AF149 AE159:AG160">
    <cfRule type="containsText" dxfId="18" priority="66" operator="containsText" text="1">
      <formula>NOT(ISERROR(SEARCH("1",AE38)))</formula>
    </cfRule>
    <cfRule type="containsText" dxfId="17" priority="94" operator="containsText" text="2">
      <formula>NOT(ISERROR(SEARCH("2",AE38)))</formula>
    </cfRule>
    <cfRule type="cellIs" dxfId="16" priority="95" operator="equal">
      <formula>3</formula>
    </cfRule>
  </conditionalFormatting>
  <conditionalFormatting sqref="AI81">
    <cfRule type="top10" dxfId="15" priority="40" percent="1" rank="30"/>
    <cfRule type="cellIs" dxfId="14" priority="41" operator="between">
      <formula>30</formula>
      <formula>50</formula>
    </cfRule>
    <cfRule type="cellIs" dxfId="13" priority="44" operator="greaterThan">
      <formula>50</formula>
    </cfRule>
  </conditionalFormatting>
  <conditionalFormatting sqref="AI95">
    <cfRule type="top10" dxfId="12" priority="34" percent="1" bottom="1" rank="30"/>
    <cfRule type="top10" dxfId="11" priority="35" percent="1" rank="50"/>
    <cfRule type="top10" dxfId="10" priority="36" percent="1" rank="30"/>
  </conditionalFormatting>
  <conditionalFormatting sqref="AI110">
    <cfRule type="top10" dxfId="9" priority="31" percent="1" bottom="1" rank="30"/>
    <cfRule type="top10" dxfId="8" priority="32" percent="1" rank="50"/>
    <cfRule type="top10" dxfId="7" priority="33" percent="1" rank="30"/>
  </conditionalFormatting>
  <conditionalFormatting sqref="AI122">
    <cfRule type="top10" dxfId="6" priority="28" percent="1" rank="30"/>
    <cfRule type="top10" dxfId="5" priority="29" percent="1" rank="50"/>
  </conditionalFormatting>
  <conditionalFormatting sqref="AI137">
    <cfRule type="top10" dxfId="4" priority="24" percent="1" rank="30"/>
    <cfRule type="top10" dxfId="3" priority="25" percent="1" rank="50"/>
  </conditionalFormatting>
  <conditionalFormatting sqref="AI150">
    <cfRule type="top10" dxfId="2" priority="20" percent="1" bottom="1" rank="30"/>
    <cfRule type="top10" dxfId="1" priority="21" percent="1" rank="50"/>
    <cfRule type="top10" dxfId="0" priority="22" percent="1" rank="30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FA0B-7E12-4FA8-826B-77FE2EA6033A}">
  <dimension ref="B2:G23"/>
  <sheetViews>
    <sheetView workbookViewId="0">
      <pane xSplit="1" ySplit="1" topLeftCell="B2" activePane="bottomRight" state="frozen"/>
      <selection pane="topRight"/>
      <selection pane="bottomLeft"/>
      <selection pane="bottomRight" activeCell="F6" sqref="F6"/>
    </sheetView>
  </sheetViews>
  <sheetFormatPr baseColWidth="10" defaultColWidth="8.85546875" defaultRowHeight="15" x14ac:dyDescent="0.25"/>
  <cols>
    <col min="2" max="2" width="12" customWidth="1"/>
    <col min="3" max="3" width="27.5703125" customWidth="1"/>
    <col min="4" max="4" width="26" customWidth="1"/>
    <col min="5" max="5" width="31.5703125" customWidth="1"/>
    <col min="6" max="6" width="21.5703125" customWidth="1"/>
    <col min="7" max="7" width="13.5703125" customWidth="1"/>
  </cols>
  <sheetData>
    <row r="2" spans="2:7" x14ac:dyDescent="0.25">
      <c r="B2" s="22" t="s">
        <v>536</v>
      </c>
      <c r="C2" s="22" t="s">
        <v>537</v>
      </c>
      <c r="D2" s="28" t="s">
        <v>538</v>
      </c>
      <c r="E2" s="22" t="s">
        <v>539</v>
      </c>
      <c r="F2" s="28" t="s">
        <v>540</v>
      </c>
      <c r="G2" s="22" t="s">
        <v>541</v>
      </c>
    </row>
    <row r="3" spans="2:7" x14ac:dyDescent="0.25">
      <c r="B3" s="22" t="s">
        <v>517</v>
      </c>
      <c r="C3" s="27">
        <v>587450</v>
      </c>
      <c r="D3" s="29">
        <f>SUMIFS(FORECAST!G3:G71,FORECAST!B3:B71, "&gt;="&amp;"01/01/2026",FORECAST!B3:B71, "&lt;="&amp;"31/01/2026")</f>
        <v>0</v>
      </c>
      <c r="E3" s="42">
        <f>D3/C3</f>
        <v>0</v>
      </c>
      <c r="F3" s="50">
        <f>COUNTIF('PLANNING 2026'!C13:AG19,"Garantizado")/COUNTA('PLANNING 2026'!C13:AG19)</f>
        <v>6.9124423963133647E-2</v>
      </c>
      <c r="G3" s="27">
        <v>0</v>
      </c>
    </row>
    <row r="4" spans="2:7" x14ac:dyDescent="0.25">
      <c r="B4" s="22" t="s">
        <v>524</v>
      </c>
      <c r="C4" s="27">
        <v>530600</v>
      </c>
      <c r="D4" s="29">
        <f>SUMIFS(FORECAST!G4:G72,FORECAST!B4:B72, "&gt;="&amp;"01/02/2026",FORECAST!B4:B72, "&lt;="&amp;"28/02/2026")</f>
        <v>963</v>
      </c>
      <c r="E4" s="42">
        <f>D4/C4</f>
        <v>1.814926498303807E-3</v>
      </c>
      <c r="F4" s="50">
        <f>COUNTIF('PLANNING 2026'!C24:AD30,"Garantizado")/COUNTA('PLANNING 2026'!C24:AD30)</f>
        <v>0.12244897959183673</v>
      </c>
      <c r="G4" s="27">
        <f>D4/(7*28)</f>
        <v>4.9132653061224492</v>
      </c>
    </row>
    <row r="5" spans="2:7" x14ac:dyDescent="0.25">
      <c r="B5" s="22" t="s">
        <v>525</v>
      </c>
      <c r="C5" s="27">
        <v>587450</v>
      </c>
      <c r="D5" s="29">
        <f>SUMIFS(FORECAST!G5:G493,FORECAST!B5:B493, "&gt;="&amp;"01/03/2026",FORECAST!B5:B493, "&lt;="&amp;"31/03/2026")</f>
        <v>54348</v>
      </c>
      <c r="E5" s="42">
        <f>D5/C5</f>
        <v>9.2515107668737759E-2</v>
      </c>
      <c r="F5" s="50">
        <f>COUNTIF('PLANNING 2026'!C35:AG41,"Garantizado")/COUNTA('PLANNING 2026'!C35:AG41)</f>
        <v>0.38709677419354838</v>
      </c>
      <c r="G5" s="27">
        <f>D5/(7*31)</f>
        <v>250.45161290322579</v>
      </c>
    </row>
    <row r="6" spans="2:7" x14ac:dyDescent="0.25">
      <c r="B6" s="22" t="s">
        <v>526</v>
      </c>
      <c r="C6" s="27">
        <v>568500</v>
      </c>
      <c r="D6" s="29">
        <f>SUMIFS(FORECAST!G6:G293,FORECAST!B6:B293, "&gt;="&amp;"01/04/2026",FORECAST!B6:B293, "&lt;="&amp;"30/04/2026")</f>
        <v>59975</v>
      </c>
      <c r="E6" s="42">
        <f t="shared" ref="E6:E13" si="0">D6/C6</f>
        <v>0.10549692172383465</v>
      </c>
      <c r="F6" s="50">
        <f>COUNTIF('PLANNING 2026'!C33:AF53,"Garantizado")/COUNTA('PLANNING 2026'!C33:AF53)</f>
        <v>0.2674825174825175</v>
      </c>
      <c r="G6" s="27">
        <f>D6/(7*30)</f>
        <v>285.59523809523807</v>
      </c>
    </row>
    <row r="7" spans="2:7" x14ac:dyDescent="0.25">
      <c r="B7" s="22" t="s">
        <v>527</v>
      </c>
      <c r="C7" s="27">
        <v>587450</v>
      </c>
      <c r="D7" s="29">
        <f>SUMIFS(FORECAST!G7:G593,FORECAST!B7:B593, "&gt;="&amp;"01/05/2026",FORECAST!B7:B593, "&lt;="&amp;"30/05/2026")</f>
        <v>101000</v>
      </c>
      <c r="E7" s="42">
        <f>D7/C7</f>
        <v>0.17192952591709934</v>
      </c>
      <c r="F7" s="50">
        <f>COUNTIF('PLANNING 2026'!C58:AG64,"Garantizado")/COUNTA('PLANNING 2026'!C58:AG64)</f>
        <v>0.22580645161290322</v>
      </c>
      <c r="G7" s="27">
        <f>D7/(7*31)</f>
        <v>465.4377880184332</v>
      </c>
    </row>
    <row r="8" spans="2:7" x14ac:dyDescent="0.25">
      <c r="B8" s="22" t="s">
        <v>528</v>
      </c>
      <c r="C8" s="27">
        <v>568500</v>
      </c>
      <c r="D8" s="29">
        <f>SUMIFS(FORECAST!G8:G593,FORECAST!B8:B593, "&gt;="&amp;"01/06/2026",FORECAST!B8:B593, "&lt;="&amp;"30/06/2026")</f>
        <v>72740</v>
      </c>
      <c r="E8" s="42">
        <f t="shared" si="0"/>
        <v>0.12795074758135444</v>
      </c>
      <c r="F8" s="50">
        <f>COUNTIF('PLANNING 2026'!C70:AF76,"Garantizado")/COUNTA('PLANNING 2026'!C70:AF76)</f>
        <v>0.20476190476190476</v>
      </c>
      <c r="G8" s="27">
        <f>D8/(7*30)</f>
        <v>346.38095238095241</v>
      </c>
    </row>
    <row r="9" spans="2:7" x14ac:dyDescent="0.25">
      <c r="B9" s="22" t="s">
        <v>530</v>
      </c>
      <c r="C9" s="27">
        <v>587450</v>
      </c>
      <c r="D9" s="29">
        <f>SUMIFS(FORECAST!G9:G593,FORECAST!B9:B593, "&gt;="&amp;"01/07/2026",FORECAST!B9:B593, "&lt;="&amp;"30/07/2026")</f>
        <v>3000</v>
      </c>
      <c r="E9" s="42">
        <f t="shared" si="0"/>
        <v>5.1068176014979995E-3</v>
      </c>
      <c r="F9" s="50">
        <f>COUNTIF('PLANNING 2026'!C82:AG88,"Garantizado")/COUNTA('PLANNING 2026'!C82:AG88)</f>
        <v>1.3824884792626729E-2</v>
      </c>
      <c r="G9" s="27">
        <f>D9/(7*31)</f>
        <v>13.824884792626728</v>
      </c>
    </row>
    <row r="10" spans="2:7" x14ac:dyDescent="0.25">
      <c r="B10" s="22" t="s">
        <v>531</v>
      </c>
      <c r="C10" s="27">
        <v>587450</v>
      </c>
      <c r="D10" s="29">
        <f>SUMIFS(FORECAST!G9:G593,FORECAST!B9:B593, "&gt;="&amp;"01/08/2026",FORECAST!B9:B593, "&lt;="&amp;"30/08/2026")</f>
        <v>18000</v>
      </c>
      <c r="E10" s="42">
        <f t="shared" si="0"/>
        <v>3.0640905608987998E-2</v>
      </c>
      <c r="F10" s="50">
        <f>COUNTIF('PLANNING 2026'!C90:AG100,"Garantizado")/COUNTA('PLANNING 2026'!C90:AG100)</f>
        <v>9.9290780141843976E-2</v>
      </c>
      <c r="G10" s="27">
        <f>D10/(7*31)</f>
        <v>82.94930875576037</v>
      </c>
    </row>
    <row r="11" spans="2:7" x14ac:dyDescent="0.25">
      <c r="B11" s="22" t="s">
        <v>532</v>
      </c>
      <c r="C11" s="27">
        <v>568500</v>
      </c>
      <c r="D11" s="29">
        <f>SUMIFS(FORECAST!G10:G601,FORECAST!B10:B601, "&gt;="&amp;"01/09/2026",FORECAST!B10:B601, "&lt;="&amp;"30/09/2026")</f>
        <v>129000</v>
      </c>
      <c r="E11" s="42">
        <f t="shared" si="0"/>
        <v>0.22691292875989447</v>
      </c>
      <c r="F11" s="50">
        <f>COUNTIF('PLANNING 2026'!C105:AF111,"Garantizado")/COUNTA('PLANNING 2026'!C105:AF111)</f>
        <v>0.47142857142857142</v>
      </c>
      <c r="G11" s="27">
        <f>D11/(7*30)</f>
        <v>614.28571428571433</v>
      </c>
    </row>
    <row r="12" spans="2:7" x14ac:dyDescent="0.25">
      <c r="B12" s="22" t="s">
        <v>533</v>
      </c>
      <c r="C12" s="27">
        <v>587450</v>
      </c>
      <c r="D12" s="29">
        <f>SUMIFS(FORECAST!G10:G295,FORECAST!B10:B295, "&gt;="&amp;"01/10/2026",FORECAST!B10:B295, "&lt;="&amp;"31/10/2026")</f>
        <v>84680</v>
      </c>
      <c r="E12" s="42">
        <f t="shared" si="0"/>
        <v>0.14414843816495021</v>
      </c>
      <c r="F12" s="50">
        <f>COUNTIF('PLANNING 2026'!C117:AG123,"Garantizado")/COUNTA('PLANNING 2026'!C117:AG123)</f>
        <v>0.19354838709677419</v>
      </c>
      <c r="G12" s="27">
        <f>D12/(7*31)</f>
        <v>390.23041474654377</v>
      </c>
    </row>
    <row r="13" spans="2:7" x14ac:dyDescent="0.25">
      <c r="B13" s="30" t="s">
        <v>534</v>
      </c>
      <c r="C13" s="31">
        <v>568500</v>
      </c>
      <c r="D13" s="29">
        <f>SUMIFS(FORECAST!G11:G194,FORECAST!B11:B194, "&gt;="&amp;"01/11/2026",FORECAST!B11:B194, "&lt;="&amp;"30/11/2026")</f>
        <v>0</v>
      </c>
      <c r="E13" s="44">
        <f t="shared" si="0"/>
        <v>0</v>
      </c>
      <c r="F13" s="50">
        <f>COUNTIF('PLANNING 2026'!C129:AF135,"Garantizado")/COUNTA('PLANNING 2026'!C129:AF135)</f>
        <v>0.15714285714285714</v>
      </c>
      <c r="G13" s="27">
        <f>D13/(7*30)</f>
        <v>0</v>
      </c>
    </row>
    <row r="14" spans="2:7" ht="15.75" thickBot="1" x14ac:dyDescent="0.3">
      <c r="B14" s="30" t="s">
        <v>535</v>
      </c>
      <c r="C14" s="31">
        <v>587450</v>
      </c>
      <c r="D14" s="29">
        <f>SUMIFS(FORECAST!G12:G146,FORECAST!B12:B146, "&gt;="&amp;"01/12/2026",FORECAST!B12:B146, "&lt;="&amp;"30/12/2026")</f>
        <v>0</v>
      </c>
      <c r="E14" s="44">
        <f>D14/C14</f>
        <v>0</v>
      </c>
      <c r="F14" s="50">
        <f>COUNTIF('PLANNING 2026'!C141:AF147,"Garantizado")/COUNTA('PLANNING 2026'!C141:AF147)</f>
        <v>9.5238095238095247E-3</v>
      </c>
      <c r="G14" s="31">
        <f>D14/(7*30)</f>
        <v>0</v>
      </c>
    </row>
    <row r="15" spans="2:7" ht="15.75" thickBot="1" x14ac:dyDescent="0.3">
      <c r="B15" s="32" t="s">
        <v>542</v>
      </c>
      <c r="C15" s="33">
        <f>SUM(C4:C13)</f>
        <v>5741850</v>
      </c>
      <c r="D15" s="33">
        <f>SUM(D4:D14)</f>
        <v>523706</v>
      </c>
      <c r="E15" s="43">
        <f>D15/C15</f>
        <v>9.120858259968477E-2</v>
      </c>
      <c r="F15" s="43">
        <f>AVERAGE(F3:F14)</f>
        <v>0.18512336181102726</v>
      </c>
      <c r="G15" s="51">
        <f>D15/(7*365)</f>
        <v>204.97299412915851</v>
      </c>
    </row>
    <row r="23" spans="3:3" x14ac:dyDescent="0.25">
      <c r="C23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4988-A3A8-45D3-95DB-30932305C37E}">
  <dimension ref="C3:E10"/>
  <sheetViews>
    <sheetView workbookViewId="0">
      <selection activeCell="K27" sqref="K27"/>
    </sheetView>
  </sheetViews>
  <sheetFormatPr baseColWidth="10" defaultColWidth="8.85546875" defaultRowHeight="15" x14ac:dyDescent="0.25"/>
  <cols>
    <col min="3" max="3" width="12.140625" customWidth="1"/>
    <col min="4" max="4" width="14.85546875" customWidth="1"/>
  </cols>
  <sheetData>
    <row r="3" spans="3:5" x14ac:dyDescent="0.25">
      <c r="D3" s="32" t="s">
        <v>543</v>
      </c>
      <c r="E3" s="47" t="s">
        <v>544</v>
      </c>
    </row>
    <row r="4" spans="3:5" x14ac:dyDescent="0.25">
      <c r="C4" s="28" t="s">
        <v>518</v>
      </c>
      <c r="D4" s="48">
        <f>COUNTIF('PLANNING 2026'!C24:AD24, "Garantizado")+COUNTIF('PLANNING 2026'!C35:AG35, "Garantizado")+COUNTIF('PLANNING 2026'!C47:AF47, "Garantizado")+COUNTIF('PLANNING 2026'!C58:AG58,"Garantizado")+COUNTIF('PLANNING 2026'!C70:AF70,"Garantizado")+COUNTIF('PLANNING 2026'!C82:AG82,"Garantizado")+COUNTIF('PLANNING 2026'!C94:AG94,"Garantizado")+COUNTIF('PLANNING 2026'!C105:AF105,"Garantizado")+COUNTIF('PLANNING 2026'!C117:AG117,"Garantizado")+COUNTIF('PLANNING 2026'!C129:AF129,"Garantizado")</f>
        <v>101</v>
      </c>
      <c r="E4" s="49">
        <f>D4/365</f>
        <v>0.27671232876712326</v>
      </c>
    </row>
    <row r="5" spans="3:5" x14ac:dyDescent="0.25">
      <c r="C5" s="28" t="s">
        <v>519</v>
      </c>
      <c r="D5" s="22">
        <f>COUNTIF('PLANNING 2026'!C25:AD25, "Garantizado")+COUNTIF('PLANNING 2026'!C36:AG36, "Garantizado")+COUNTIF('PLANNING 2026'!C48:AF48, "Garantizado")+COUNTIF('PLANNING 2026'!C59:AG59,"Garantizado")+COUNTIF('PLANNING 2026'!C71:AF71,"Garantizado")+COUNTIF('PLANNING 2026'!C83:AG83,"Garantizado")+COUNTIF('PLANNING 2026'!C95:AG95,"Garantizado")+COUNTIF('PLANNING 2026'!C106:AF106,"Garantizado")+COUNTIF('PLANNING 2026'!C118:AG118,"Garantizado")+COUNTIF('PLANNING 2026'!C130:AF130,"Garantizado")</f>
        <v>84</v>
      </c>
      <c r="E5" s="45">
        <f t="shared" ref="E5:E10" si="0">D5/365</f>
        <v>0.23013698630136986</v>
      </c>
    </row>
    <row r="6" spans="3:5" x14ac:dyDescent="0.25">
      <c r="C6" s="46" t="s">
        <v>279</v>
      </c>
      <c r="D6" s="22">
        <f>COUNTIF('PLANNING 2026'!C26:AD26, "Garantizado")+COUNTIF('PLANNING 2026'!C37:AG37, "Garantizado")+COUNTIF('PLANNING 2026'!C49:AF49, "Garantizado")+COUNTIF('PLANNING 2026'!C60:AG60,"Garantizado")+COUNTIF('PLANNING 2026'!C72:AF72,"Garantizado")+COUNTIF('PLANNING 2026'!C84:AG84,"Garantizado")+COUNTIF('PLANNING 2026'!C96:AG96,"Garantizado")+COUNTIF('PLANNING 2026'!C107:AF107,"Garantizado")+COUNTIF('PLANNING 2026'!C119:AG119,"Garantizado")+COUNTIF('PLANNING 2026'!C131:AF131,"Garantizado")</f>
        <v>62</v>
      </c>
      <c r="E6" s="45">
        <f t="shared" si="0"/>
        <v>0.16986301369863013</v>
      </c>
    </row>
    <row r="7" spans="3:5" x14ac:dyDescent="0.25">
      <c r="C7" s="22" t="s">
        <v>521</v>
      </c>
      <c r="D7" s="25">
        <f>COUNTIF('PLANNING 2026'!C27:AD27, "Garantizado")+COUNTIF('PLANNING 2026'!C38:AG38, "Garantizado")+COUNTIF('PLANNING 2026'!C50:AF50, "Garantizado")+COUNTIF('PLANNING 2026'!C61:AG61,"Garantizado")+COUNTIF('PLANNING 2026'!C73:AF73,"Garantizado")+COUNTIF('PLANNING 2026'!C85:AG85,"Garantizado")+COUNTIF('PLANNING 2026'!C97:AG97,"Garantizado")+COUNTIF('PLANNING 2026'!C108:AF108,"Garantizado")+COUNTIF('PLANNING 2026'!C120:AG120,"Garantizado")+COUNTIF('PLANNING 2026'!C132:AF132,"Garantizado")</f>
        <v>67</v>
      </c>
      <c r="E7" s="45">
        <f t="shared" si="0"/>
        <v>0.18356164383561643</v>
      </c>
    </row>
    <row r="8" spans="3:5" x14ac:dyDescent="0.25">
      <c r="C8" s="22" t="s">
        <v>522</v>
      </c>
      <c r="D8" s="25">
        <f>COUNTIF('PLANNING 2026'!C28:AD28, "Garantizado")+COUNTIF('PLANNING 2026'!C39:AG39, "Garantizado")+COUNTIF('PLANNING 2026'!C51:AF51, "Garantizado")+COUNTIF('PLANNING 2026'!C62:AG62,"Garantizado")+COUNTIF('PLANNING 2026'!C74:AF74,"Garantizado")+COUNTIF('PLANNING 2026'!C86:AG86,"Garantizado")+COUNTIF('PLANNING 2026'!C98:AG98,"Garantizado")+COUNTIF('PLANNING 2026'!C109:AF109,"Garantizado")+COUNTIF('PLANNING 2026'!C121:AG121,"Garantizado")+COUNTIF('PLANNING 2026'!C133:AF133,"Garantizado")</f>
        <v>58</v>
      </c>
      <c r="E8" s="45">
        <f t="shared" si="0"/>
        <v>0.15890410958904111</v>
      </c>
    </row>
    <row r="9" spans="3:5" x14ac:dyDescent="0.25">
      <c r="C9" s="22" t="s">
        <v>523</v>
      </c>
      <c r="D9" s="25">
        <f>COUNTIF('PLANNING 2026'!C29:AD29, "Garantizado")+COUNTIF('PLANNING 2026'!C40:AG40, "Garantizado")+COUNTIF('PLANNING 2026'!C52:AF52, "Garantizado")+COUNTIF('PLANNING 2026'!C63:AG63,"Garantizado")+COUNTIF('PLANNING 2026'!C75:AF75,"Garantizado")+COUNTIF('PLANNING 2026'!C87:AG87,"Garantizado")+COUNTIF('PLANNING 2026'!C99:AG99,"Garantizado")+COUNTIF('PLANNING 2026'!C110:AF110,"Garantizado")+COUNTIF('PLANNING 2026'!C122:AG122,"Garantizado")+COUNTIF('PLANNING 2026'!C134:AF134,"Garantizado")</f>
        <v>50</v>
      </c>
      <c r="E9" s="45">
        <f t="shared" si="0"/>
        <v>0.13698630136986301</v>
      </c>
    </row>
    <row r="10" spans="3:5" x14ac:dyDescent="0.25">
      <c r="C10" s="22" t="s">
        <v>9</v>
      </c>
      <c r="D10" s="25">
        <f>COUNTIF('PLANNING 2026'!C30:AD30, "Garantizado")+COUNTIF('PLANNING 2026'!C41:AG41, "Garantizado")+COUNTIF('PLANNING 2026'!C53:AF53, "Garantizado")+COUNTIF('PLANNING 2026'!C64:AG64,"Garantizado")+COUNTIF('PLANNING 2026'!C76:AF76,"Garantizado")+COUNTIF('PLANNING 2026'!C88:AG88,"Garantizado")+COUNTIF('PLANNING 2026'!C100:AG100,"Garantizado")+COUNTIF('PLANNING 2026'!C111:AF111,"Garantizado")+COUNTIF('PLANNING 2026'!C123:AG123,"Garantizado")+COUNTIF('PLANNING 2026'!C135:AF135,"Garantizado")</f>
        <v>42</v>
      </c>
      <c r="E10" s="45">
        <f t="shared" si="0"/>
        <v>0.11506849315068493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a74835-054c-465c-9833-15314bb4e569">
      <Terms xmlns="http://schemas.microsoft.com/office/infopath/2007/PartnerControls"/>
    </lcf76f155ced4ddcb4097134ff3c332f>
    <TaxCatchAll xmlns="81f07efd-9007-4e91-85e4-7047b12c67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9009907811B14881C923A942A1C4D3" ma:contentTypeVersion="13" ma:contentTypeDescription="Crear nuevo documento." ma:contentTypeScope="" ma:versionID="d871844394288d4c592c13bfce14b250">
  <xsd:schema xmlns:xsd="http://www.w3.org/2001/XMLSchema" xmlns:xs="http://www.w3.org/2001/XMLSchema" xmlns:p="http://schemas.microsoft.com/office/2006/metadata/properties" xmlns:ns2="6ea74835-054c-465c-9833-15314bb4e569" xmlns:ns3="81f07efd-9007-4e91-85e4-7047b12c67a6" targetNamespace="http://schemas.microsoft.com/office/2006/metadata/properties" ma:root="true" ma:fieldsID="8918701f1df43605277974da4dbfb110" ns2:_="" ns3:_="">
    <xsd:import namespace="6ea74835-054c-465c-9833-15314bb4e569"/>
    <xsd:import namespace="81f07efd-9007-4e91-85e4-7047b12c67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4835-054c-465c-9833-15314bb4e5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eb63848-82fa-494e-ba59-2da3c1bd21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07efd-9007-4e91-85e4-7047b12c67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8ddca5-94a8-426a-a7ca-ffcb9cc98b12}" ma:internalName="TaxCatchAll" ma:showField="CatchAllData" ma:web="81f07efd-9007-4e91-85e4-7047b12c67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A5FBE-9489-4F03-8710-CF85B36F1C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199457-1E03-4802-89DB-FB3F3E204379}">
  <ds:schemaRefs>
    <ds:schemaRef ds:uri="http://schemas.microsoft.com/office/2006/metadata/properties"/>
    <ds:schemaRef ds:uri="http://schemas.microsoft.com/office/infopath/2007/PartnerControls"/>
    <ds:schemaRef ds:uri="6ea74835-054c-465c-9833-15314bb4e569"/>
    <ds:schemaRef ds:uri="81f07efd-9007-4e91-85e4-7047b12c67a6"/>
  </ds:schemaRefs>
</ds:datastoreItem>
</file>

<file path=customXml/itemProps3.xml><?xml version="1.0" encoding="utf-8"?>
<ds:datastoreItem xmlns:ds="http://schemas.openxmlformats.org/officeDocument/2006/customXml" ds:itemID="{4199E407-6A15-4322-A356-EB2B339D5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a74835-054c-465c-9833-15314bb4e569"/>
    <ds:schemaRef ds:uri="81f07efd-9007-4e91-85e4-7047b12c67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FORECAST</vt:lpstr>
      <vt:lpstr>PLANNING 2026</vt:lpstr>
      <vt:lpstr>ROOM RENTAL PROYECTADO</vt:lpstr>
      <vt:lpstr>% de Ocupación x Salón 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</dc:creator>
  <cp:keywords/>
  <dc:description/>
  <cp:lastModifiedBy>Francisco Salas</cp:lastModifiedBy>
  <cp:revision/>
  <dcterms:created xsi:type="dcterms:W3CDTF">2025-04-29T17:39:57Z</dcterms:created>
  <dcterms:modified xsi:type="dcterms:W3CDTF">2026-04-17T14:12:38Z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0x010100289009907811B14881C923A942A1C4D3</vt:lpwstr>
  </property>
  <property fmtid="{D5CDD505-2E9C-101B-9397-08002B2CF9AE}" pid="3" name="MediaServiceImageTags">
    <vt:lpwstr/>
  </property>
</Properties>
</file>